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1.xml" ContentType="application/vnd.ms-excel.threadedcomments+xml"/>
  <Override PartName="/xl/tables/table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https://hillenbrand-my.sharepoint.com/personal/gnanasekaran_govindasamy_coperion_com/Documents/Gnanasekaran/Time Sheet/Combined Timesheet 2025/"/>
    </mc:Choice>
  </mc:AlternateContent>
  <xr:revisionPtr revIDLastSave="99" documentId="8_{8C1175BD-1FCC-40E3-A913-D68FC40B5E1E}" xr6:coauthVersionLast="47" xr6:coauthVersionMax="47" xr10:uidLastSave="{45AD5685-8F34-4D5D-8DDC-631FC507F43B}"/>
  <bookViews>
    <workbookView xWindow="-110" yWindow="-110" windowWidth="19420" windowHeight="11620" tabRatio="677" activeTab="1" xr2:uid="{5C777AFC-F16C-4C84-A6D7-251028060597}"/>
  </bookViews>
  <sheets>
    <sheet name="Contents" sheetId="2" r:id="rId1"/>
    <sheet name="Time Sheet" sheetId="1" r:id="rId2"/>
    <sheet name="KPI's" sheetId="5" r:id="rId3"/>
    <sheet name="First-Pass" sheetId="4" r:id="rId4"/>
  </sheets>
  <definedNames>
    <definedName name="_xlnm._FilterDatabase" localSheetId="1" hidden="1">'Time Sheet'!$A$2:$L$200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246" i="1" l="1"/>
  <c r="N246" i="1"/>
  <c r="O245" i="1"/>
  <c r="N245" i="1"/>
  <c r="O244" i="1"/>
  <c r="N244" i="1"/>
  <c r="O243" i="1"/>
  <c r="N243" i="1"/>
  <c r="O242" i="1"/>
  <c r="N242" i="1"/>
  <c r="O241" i="1"/>
  <c r="N241" i="1"/>
  <c r="O240" i="1" l="1"/>
  <c r="N240" i="1"/>
  <c r="O239" i="1"/>
  <c r="N239" i="1"/>
  <c r="O238" i="1"/>
  <c r="N238" i="1"/>
  <c r="O237" i="1"/>
  <c r="N237" i="1"/>
  <c r="O236" i="1"/>
  <c r="N236" i="1"/>
  <c r="O235" i="1"/>
  <c r="N235" i="1"/>
  <c r="O234" i="1"/>
  <c r="N234" i="1"/>
  <c r="O233" i="1"/>
  <c r="N233" i="1"/>
  <c r="O232" i="1" l="1"/>
  <c r="N232" i="1"/>
  <c r="O231" i="1"/>
  <c r="N231" i="1"/>
  <c r="O230" i="1"/>
  <c r="N230" i="1"/>
  <c r="O229" i="1"/>
  <c r="N229" i="1"/>
  <c r="O228" i="1"/>
  <c r="N228" i="1"/>
  <c r="O227" i="1"/>
  <c r="N227" i="1"/>
  <c r="O226" i="1"/>
  <c r="N226" i="1"/>
  <c r="O225" i="1"/>
  <c r="N225" i="1"/>
  <c r="O224" i="1"/>
  <c r="N224" i="1"/>
  <c r="O223" i="1" l="1"/>
  <c r="N223" i="1"/>
  <c r="O222" i="1"/>
  <c r="N222" i="1"/>
  <c r="O221" i="1"/>
  <c r="N221" i="1"/>
  <c r="O220" i="1"/>
  <c r="N220" i="1"/>
  <c r="O219" i="1"/>
  <c r="N219" i="1"/>
  <c r="O218" i="1"/>
  <c r="N218" i="1"/>
  <c r="O217" i="1"/>
  <c r="N217" i="1"/>
  <c r="O216" i="1" l="1"/>
  <c r="N216" i="1"/>
  <c r="O215" i="1"/>
  <c r="N215" i="1"/>
  <c r="O214" i="1"/>
  <c r="N214" i="1"/>
  <c r="O213" i="1"/>
  <c r="N213" i="1"/>
  <c r="O212" i="1"/>
  <c r="N212" i="1"/>
  <c r="O211" i="1"/>
  <c r="N211" i="1"/>
  <c r="O210" i="1"/>
  <c r="N210" i="1"/>
  <c r="O209" i="1"/>
  <c r="N209" i="1"/>
  <c r="O208" i="1" l="1"/>
  <c r="N208" i="1"/>
  <c r="O207" i="1"/>
  <c r="N207" i="1"/>
  <c r="O206" i="1"/>
  <c r="N206" i="1"/>
  <c r="O205" i="1"/>
  <c r="N205" i="1"/>
  <c r="O204" i="1"/>
  <c r="N204" i="1"/>
  <c r="O203" i="1"/>
  <c r="N203" i="1"/>
  <c r="O202" i="1"/>
  <c r="N202" i="1"/>
  <c r="O201" i="1"/>
  <c r="N201" i="1"/>
  <c r="K1" i="1" l="1"/>
  <c r="O200" i="1"/>
  <c r="N200" i="1"/>
  <c r="O199" i="1"/>
  <c r="N199" i="1"/>
  <c r="O198" i="1"/>
  <c r="N198" i="1"/>
  <c r="O197" i="1"/>
  <c r="N197" i="1"/>
  <c r="O196" i="1"/>
  <c r="N196" i="1"/>
  <c r="O195" i="1"/>
  <c r="N195" i="1"/>
  <c r="O194" i="1"/>
  <c r="N194" i="1"/>
  <c r="O193" i="1"/>
  <c r="N193" i="1"/>
  <c r="O192" i="1" l="1"/>
  <c r="N192" i="1"/>
  <c r="O191" i="1"/>
  <c r="N191" i="1"/>
  <c r="O190" i="1"/>
  <c r="N190" i="1"/>
  <c r="O189" i="1"/>
  <c r="N189" i="1"/>
  <c r="O188" i="1"/>
  <c r="N188" i="1"/>
  <c r="O187" i="1"/>
  <c r="N187" i="1"/>
  <c r="O186" i="1"/>
  <c r="N186" i="1"/>
  <c r="O185" i="1"/>
  <c r="N185" i="1"/>
  <c r="O184" i="1" l="1"/>
  <c r="N184" i="1"/>
  <c r="O183" i="1"/>
  <c r="N183" i="1"/>
  <c r="O182" i="1"/>
  <c r="N182" i="1"/>
  <c r="O181" i="1"/>
  <c r="N181" i="1"/>
  <c r="O180" i="1"/>
  <c r="N180" i="1"/>
  <c r="O179" i="1"/>
  <c r="N179" i="1"/>
  <c r="O178" i="1"/>
  <c r="N178" i="1"/>
  <c r="O177" i="1"/>
  <c r="N177" i="1"/>
  <c r="O176" i="1"/>
  <c r="N176" i="1"/>
  <c r="O175" i="1" l="1"/>
  <c r="N175" i="1"/>
  <c r="O174" i="1"/>
  <c r="N174" i="1"/>
  <c r="O173" i="1"/>
  <c r="N173" i="1"/>
  <c r="O172" i="1"/>
  <c r="N172" i="1"/>
  <c r="O171" i="1"/>
  <c r="N171" i="1"/>
  <c r="O170" i="1"/>
  <c r="N170" i="1"/>
  <c r="O169" i="1"/>
  <c r="N169" i="1"/>
  <c r="O168" i="1"/>
  <c r="N168" i="1"/>
  <c r="O167" i="1"/>
  <c r="N167" i="1"/>
  <c r="O166" i="1"/>
  <c r="N166" i="1"/>
  <c r="O165" i="1"/>
  <c r="N165" i="1"/>
  <c r="O163" i="1" l="1"/>
  <c r="O164" i="1"/>
  <c r="N164" i="1"/>
  <c r="N163" i="1"/>
  <c r="O162" i="1"/>
  <c r="N162" i="1"/>
  <c r="O161" i="1"/>
  <c r="N161" i="1"/>
  <c r="O160" i="1"/>
  <c r="N160" i="1"/>
  <c r="O159" i="1"/>
  <c r="N159" i="1"/>
  <c r="O158" i="1"/>
  <c r="N158" i="1"/>
  <c r="O157" i="1"/>
  <c r="N157" i="1"/>
  <c r="O156" i="1"/>
  <c r="N156" i="1"/>
  <c r="O155" i="1" l="1"/>
  <c r="N155" i="1"/>
  <c r="O154" i="1"/>
  <c r="N154" i="1"/>
  <c r="O153" i="1"/>
  <c r="N153" i="1"/>
  <c r="O152" i="1"/>
  <c r="N152" i="1"/>
  <c r="O151" i="1"/>
  <c r="N151" i="1"/>
  <c r="O150" i="1"/>
  <c r="N150" i="1"/>
  <c r="O149" i="1"/>
  <c r="N149" i="1"/>
  <c r="O148" i="1"/>
  <c r="N148" i="1"/>
  <c r="O147" i="1"/>
  <c r="N147" i="1"/>
  <c r="O146" i="1"/>
  <c r="N146" i="1"/>
  <c r="O145" i="1"/>
  <c r="N145" i="1"/>
  <c r="O144" i="1"/>
  <c r="N144" i="1"/>
  <c r="O143" i="1"/>
  <c r="N143" i="1"/>
  <c r="O142" i="1"/>
  <c r="N142" i="1"/>
  <c r="O141" i="1" l="1"/>
  <c r="N141" i="1"/>
  <c r="O140" i="1"/>
  <c r="N140" i="1"/>
  <c r="O139" i="1"/>
  <c r="N139" i="1"/>
  <c r="O138" i="1"/>
  <c r="N138" i="1"/>
  <c r="O137" i="1"/>
  <c r="N137" i="1"/>
  <c r="O136" i="1"/>
  <c r="N136" i="1"/>
  <c r="O135" i="1"/>
  <c r="N135" i="1"/>
  <c r="O134" i="1"/>
  <c r="N134" i="1"/>
  <c r="O133" i="1"/>
  <c r="N133" i="1"/>
  <c r="O132" i="1"/>
  <c r="N132" i="1"/>
  <c r="O131" i="1"/>
  <c r="N131" i="1"/>
  <c r="O130" i="1"/>
  <c r="N130" i="1"/>
  <c r="O129" i="1" l="1"/>
  <c r="N129" i="1"/>
  <c r="O128" i="1"/>
  <c r="N128" i="1"/>
  <c r="O127" i="1"/>
  <c r="N127" i="1"/>
  <c r="O126" i="1"/>
  <c r="N126" i="1"/>
  <c r="O125" i="1"/>
  <c r="N125" i="1"/>
  <c r="O124" i="1"/>
  <c r="N124" i="1"/>
  <c r="O123" i="1"/>
  <c r="N123" i="1"/>
  <c r="O122" i="1"/>
  <c r="N122" i="1"/>
  <c r="O121" i="1"/>
  <c r="N121" i="1"/>
  <c r="O120" i="1"/>
  <c r="N120" i="1"/>
  <c r="O119" i="1"/>
  <c r="N119" i="1"/>
  <c r="O118" i="1" l="1"/>
  <c r="N118" i="1"/>
  <c r="O117" i="1"/>
  <c r="N117" i="1"/>
  <c r="O116" i="1"/>
  <c r="N116" i="1"/>
  <c r="O115" i="1"/>
  <c r="N115" i="1"/>
  <c r="O114" i="1"/>
  <c r="N114" i="1"/>
  <c r="O113" i="1"/>
  <c r="N113" i="1"/>
  <c r="O112" i="1"/>
  <c r="N112" i="1"/>
  <c r="O111" i="1"/>
  <c r="N111" i="1"/>
  <c r="O110" i="1"/>
  <c r="N110" i="1"/>
  <c r="O109" i="1"/>
  <c r="N109" i="1"/>
  <c r="O108" i="1"/>
  <c r="N108" i="1"/>
  <c r="O107" i="1"/>
  <c r="N107" i="1"/>
  <c r="O106" i="1"/>
  <c r="N106" i="1"/>
  <c r="O105" i="1" l="1"/>
  <c r="N105" i="1"/>
  <c r="O104" i="1"/>
  <c r="N104" i="1"/>
  <c r="O103" i="1"/>
  <c r="N103" i="1"/>
  <c r="O102" i="1"/>
  <c r="N102" i="1"/>
  <c r="O101" i="1"/>
  <c r="N101" i="1"/>
  <c r="O100" i="1"/>
  <c r="N100" i="1"/>
  <c r="O99" i="1"/>
  <c r="N99" i="1"/>
  <c r="O98" i="1"/>
  <c r="N98" i="1"/>
  <c r="O97" i="1"/>
  <c r="N97" i="1"/>
  <c r="O96" i="1"/>
  <c r="N96" i="1"/>
  <c r="O95" i="1"/>
  <c r="N95" i="1"/>
  <c r="O94" i="1" l="1"/>
  <c r="N94" i="1"/>
  <c r="O93" i="1"/>
  <c r="N93" i="1"/>
  <c r="O92" i="1"/>
  <c r="N92" i="1"/>
  <c r="O91" i="1"/>
  <c r="N91" i="1"/>
  <c r="O90" i="1"/>
  <c r="N90" i="1"/>
  <c r="O89" i="1"/>
  <c r="N89" i="1"/>
  <c r="O88" i="1"/>
  <c r="N88" i="1"/>
  <c r="O87" i="1"/>
  <c r="N87" i="1"/>
  <c r="O86" i="1"/>
  <c r="N86" i="1"/>
  <c r="O85" i="1"/>
  <c r="N85" i="1"/>
  <c r="N77" i="1" l="1"/>
  <c r="O77" i="1"/>
  <c r="O84" i="1"/>
  <c r="N84" i="1"/>
  <c r="N83" i="1"/>
  <c r="O82" i="1"/>
  <c r="N82" i="1"/>
  <c r="O81" i="1"/>
  <c r="N81" i="1"/>
  <c r="O80" i="1"/>
  <c r="N80" i="1"/>
  <c r="O79" i="1"/>
  <c r="N79" i="1"/>
  <c r="O78" i="1"/>
  <c r="N78" i="1"/>
  <c r="O76" i="1"/>
  <c r="N76" i="1"/>
  <c r="O75" i="1"/>
  <c r="N75" i="1"/>
  <c r="O74" i="1"/>
  <c r="N74" i="1"/>
  <c r="O73" i="1"/>
  <c r="N73" i="1"/>
  <c r="O72" i="1" l="1"/>
  <c r="N72" i="1"/>
  <c r="O71" i="1"/>
  <c r="N71" i="1"/>
  <c r="O70" i="1"/>
  <c r="N70" i="1"/>
  <c r="O69" i="1"/>
  <c r="N69" i="1"/>
  <c r="O68" i="1"/>
  <c r="N68" i="1"/>
  <c r="O67" i="1"/>
  <c r="N67" i="1"/>
  <c r="O66" i="1"/>
  <c r="N66" i="1"/>
  <c r="O65" i="1"/>
  <c r="N65" i="1"/>
  <c r="O64" i="1"/>
  <c r="N64" i="1"/>
  <c r="O63" i="1"/>
  <c r="N63" i="1"/>
  <c r="O62" i="1" l="1"/>
  <c r="N62" i="1"/>
  <c r="O61" i="1"/>
  <c r="N61" i="1"/>
  <c r="O60" i="1"/>
  <c r="N60" i="1"/>
  <c r="O59" i="1"/>
  <c r="N59" i="1"/>
  <c r="O58" i="1"/>
  <c r="N58" i="1"/>
  <c r="O57" i="1"/>
  <c r="N57" i="1"/>
  <c r="O56" i="1" l="1"/>
  <c r="N56" i="1"/>
  <c r="O55" i="1"/>
  <c r="N55" i="1"/>
  <c r="O54" i="1"/>
  <c r="N54" i="1"/>
  <c r="O53" i="1"/>
  <c r="N53" i="1"/>
  <c r="O52" i="1"/>
  <c r="N52" i="1"/>
  <c r="O51" i="1" l="1"/>
  <c r="N51" i="1"/>
  <c r="O50" i="1"/>
  <c r="N50" i="1"/>
  <c r="O49" i="1"/>
  <c r="N49" i="1"/>
  <c r="O48" i="1"/>
  <c r="N48" i="1"/>
  <c r="O47" i="1"/>
  <c r="N47" i="1"/>
  <c r="O46" i="1"/>
  <c r="N46" i="1"/>
  <c r="O45" i="1"/>
  <c r="N45" i="1"/>
  <c r="O44" i="1"/>
  <c r="N44" i="1"/>
  <c r="O43" i="1"/>
  <c r="N43" i="1"/>
  <c r="O42" i="1" l="1"/>
  <c r="N42" i="1"/>
  <c r="O41" i="1"/>
  <c r="N41" i="1"/>
  <c r="O40" i="1"/>
  <c r="N40" i="1"/>
  <c r="O39" i="1"/>
  <c r="N39" i="1"/>
  <c r="O38" i="1"/>
  <c r="N38" i="1"/>
  <c r="O37" i="1"/>
  <c r="N37" i="1"/>
  <c r="O36" i="1" l="1"/>
  <c r="N36" i="1"/>
  <c r="O35" i="1"/>
  <c r="N35" i="1"/>
  <c r="O34" i="1"/>
  <c r="N34" i="1"/>
  <c r="O33" i="1"/>
  <c r="N33" i="1"/>
  <c r="O32" i="1"/>
  <c r="N32" i="1"/>
  <c r="O31" i="1" l="1"/>
  <c r="N31" i="1"/>
  <c r="O30" i="1"/>
  <c r="N30" i="1"/>
  <c r="O29" i="1"/>
  <c r="N29" i="1"/>
  <c r="O28" i="1"/>
  <c r="N28" i="1"/>
  <c r="O27" i="1"/>
  <c r="N27" i="1"/>
  <c r="O26" i="1" l="1"/>
  <c r="N26" i="1"/>
  <c r="O25" i="1"/>
  <c r="N25" i="1"/>
  <c r="O24" i="1"/>
  <c r="N24" i="1"/>
  <c r="O23" i="1"/>
  <c r="N23" i="1"/>
  <c r="O22" i="1"/>
  <c r="N22" i="1"/>
  <c r="O21" i="1" l="1"/>
  <c r="N21" i="1"/>
  <c r="O20" i="1"/>
  <c r="N20" i="1"/>
  <c r="O19" i="1"/>
  <c r="N19" i="1"/>
  <c r="O18" i="1"/>
  <c r="N18" i="1"/>
  <c r="O17" i="1"/>
  <c r="N17" i="1"/>
  <c r="O16" i="1"/>
  <c r="N16" i="1"/>
  <c r="O15" i="1"/>
  <c r="N15" i="1"/>
  <c r="O14" i="1"/>
  <c r="N14" i="1"/>
  <c r="O13" i="1"/>
  <c r="N13" i="1"/>
  <c r="O12" i="1"/>
  <c r="N12" i="1"/>
  <c r="O11" i="1"/>
  <c r="N11" i="1"/>
  <c r="O10" i="1"/>
  <c r="N10" i="1"/>
  <c r="O9" i="1"/>
  <c r="N9" i="1"/>
  <c r="O8" i="1"/>
  <c r="N8" i="1"/>
  <c r="O5" i="1"/>
  <c r="N5" i="1"/>
  <c r="O7" i="1"/>
  <c r="N7" i="1"/>
  <c r="O6" i="1"/>
  <c r="N6" i="1"/>
  <c r="O4" i="1"/>
  <c r="N4" i="1"/>
  <c r="O3" i="1"/>
  <c r="N3" i="1"/>
  <c r="N6" i="4" l="1"/>
  <c r="N7" i="4"/>
  <c r="N8" i="4"/>
  <c r="N9" i="4"/>
  <c r="N10" i="4"/>
  <c r="O6" i="4"/>
  <c r="O7" i="4"/>
  <c r="O8" i="4"/>
  <c r="O9" i="4"/>
  <c r="O10" i="4"/>
  <c r="J1" i="1"/>
  <c r="N1" i="1" l="1"/>
  <c r="M1" i="5" l="1"/>
  <c r="L1" i="5"/>
  <c r="K1" i="5"/>
  <c r="J1" i="5"/>
  <c r="I1" i="5"/>
  <c r="H1" i="5"/>
  <c r="G1" i="5"/>
  <c r="F1" i="5"/>
  <c r="E1" i="5"/>
  <c r="D1" i="5"/>
  <c r="C1" i="5"/>
  <c r="B1" i="5"/>
  <c r="N5" i="5"/>
  <c r="N4" i="5"/>
  <c r="N9" i="5"/>
  <c r="N8" i="5"/>
  <c r="N5" i="4" l="1"/>
  <c r="O5" i="4"/>
  <c r="N3" i="4" l="1"/>
  <c r="O3" i="4"/>
  <c r="N4" i="4"/>
  <c r="O4" i="4"/>
  <c r="O2" i="4"/>
  <c r="N2" i="4"/>
  <c r="M3" i="5" l="1"/>
  <c r="L3" i="5"/>
  <c r="K3" i="5"/>
  <c r="H3" i="5"/>
  <c r="G3" i="5"/>
  <c r="F3" i="5"/>
  <c r="E3" i="5"/>
  <c r="D3" i="5"/>
  <c r="C3" i="5"/>
  <c r="M2" i="5"/>
  <c r="L2" i="5"/>
  <c r="K2" i="5"/>
  <c r="J2" i="5"/>
  <c r="I2" i="5"/>
  <c r="H2" i="5"/>
  <c r="J3" i="5"/>
  <c r="G2" i="5"/>
  <c r="I3" i="5"/>
  <c r="F2" i="5"/>
  <c r="E2" i="5"/>
  <c r="D2" i="5"/>
  <c r="C2" i="5"/>
  <c r="B2" i="5"/>
  <c r="B3" i="5"/>
  <c r="M7" i="5"/>
  <c r="L7" i="5"/>
  <c r="K7" i="5"/>
  <c r="I7" i="5"/>
  <c r="J7" i="5"/>
  <c r="H7" i="5"/>
  <c r="G7" i="5"/>
  <c r="F7" i="5"/>
  <c r="E7" i="5"/>
  <c r="D7" i="5"/>
  <c r="B7" i="5"/>
  <c r="C7" i="5"/>
  <c r="I6" i="5" l="1"/>
  <c r="N3" i="5"/>
  <c r="N2" i="5"/>
  <c r="H6" i="5"/>
  <c r="J6" i="5"/>
  <c r="M6" i="5"/>
  <c r="N7" i="5"/>
  <c r="L6" i="5"/>
  <c r="B6" i="5"/>
  <c r="C6" i="5"/>
  <c r="D6" i="5"/>
  <c r="E6" i="5"/>
  <c r="F6" i="5"/>
  <c r="K6" i="5"/>
  <c r="G6" i="5"/>
  <c r="N6"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Gidnavar, Sanjeev</author>
  </authors>
  <commentList>
    <comment ref="A22" authorId="0" shapeId="0" xr:uid="{FD553253-1AD1-40FF-9793-4FFA30992AC5}">
      <text>
        <r>
          <rPr>
            <b/>
            <sz val="9"/>
            <color indexed="81"/>
            <rFont val="Tahoma"/>
            <family val="2"/>
          </rPr>
          <t xml:space="preserve">
Any error / feedback for update/ correction considered quality failed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tc={542D98A1-661D-409D-B11F-0974397B2F2F}</author>
  </authors>
  <commentList>
    <comment ref="A3" authorId="0" shapeId="0" xr:uid="{542D98A1-661D-409D-B11F-0974397B2F2F}">
      <text>
        <t>[Threaded comment]
Your version of Excel allows you to read this threaded comment; however, any edits to it will get removed if the file is opened in a newer version of Excel. Learn more: https://go.microsoft.com/fwlink/?linkid=870924
Comment:
    Whole task to be considered as for quality pass.
Any comments are raised by external team will be considered as failure in quality
Reply:
    First-pass: If input or out put is error in task considered Frist-pass fail</t>
      </text>
    </comment>
  </commentList>
</comments>
</file>

<file path=xl/sharedStrings.xml><?xml version="1.0" encoding="utf-8"?>
<sst xmlns="http://schemas.openxmlformats.org/spreadsheetml/2006/main" count="1756" uniqueCount="353">
  <si>
    <t>Contents</t>
  </si>
  <si>
    <t>Project Code</t>
  </si>
  <si>
    <t>Type of Projects</t>
  </si>
  <si>
    <t>Type of Activity</t>
  </si>
  <si>
    <t>Remarks</t>
  </si>
  <si>
    <t>Production</t>
  </si>
  <si>
    <t>System Failure</t>
  </si>
  <si>
    <t>Non Production</t>
  </si>
  <si>
    <t>General Meetings</t>
  </si>
  <si>
    <t xml:space="preserve">General Team Meetings </t>
  </si>
  <si>
    <t>Non Working Days / Hrs</t>
  </si>
  <si>
    <t>Others</t>
  </si>
  <si>
    <t>Leave, Holiday, Comp-Off, Permission, Vacation</t>
  </si>
  <si>
    <t>Project</t>
  </si>
  <si>
    <t>Description</t>
  </si>
  <si>
    <t>Assigned To</t>
  </si>
  <si>
    <t>Start Date</t>
  </si>
  <si>
    <t>Actual Hours</t>
  </si>
  <si>
    <t>WK#</t>
  </si>
  <si>
    <t>Month</t>
  </si>
  <si>
    <t>Location
(CPN Site)</t>
  </si>
  <si>
    <t>ID</t>
  </si>
  <si>
    <t>Project Management</t>
  </si>
  <si>
    <t>Project Management Hrs only for the Team Leads</t>
  </si>
  <si>
    <t xml:space="preserve">Monthly Efficiency </t>
  </si>
  <si>
    <t xml:space="preserve">Billable Ratio </t>
  </si>
  <si>
    <t>Errors based on unprecise input</t>
  </si>
  <si>
    <t>Errors based on execution mistakes</t>
  </si>
  <si>
    <t>Monthly OTD</t>
  </si>
  <si>
    <t>Total Number of Tasks Completed</t>
  </si>
  <si>
    <t>Total Number of Tasks QC passed</t>
  </si>
  <si>
    <t>Task From Team</t>
  </si>
  <si>
    <t>S.No</t>
  </si>
  <si>
    <t xml:space="preserve">Task ID </t>
  </si>
  <si>
    <t xml:space="preserve">Project Number </t>
  </si>
  <si>
    <t>Week#</t>
  </si>
  <si>
    <t>Execution Mistake</t>
  </si>
  <si>
    <t>Corrective Actions</t>
  </si>
  <si>
    <t xml:space="preserve">Remarks </t>
  </si>
  <si>
    <t>CST</t>
  </si>
  <si>
    <t>CWG</t>
  </si>
  <si>
    <t>Missing / wrong Inputs</t>
  </si>
  <si>
    <t>Type</t>
  </si>
  <si>
    <t>Non-Productive  Hours</t>
  </si>
  <si>
    <t>HGH</t>
  </si>
  <si>
    <t>Date (DD-MM-YY)</t>
  </si>
  <si>
    <t>First Pass (Yes / No)</t>
  </si>
  <si>
    <t>Department (CPN)</t>
  </si>
  <si>
    <t>EST. Hrs.</t>
  </si>
  <si>
    <t>Act. Hrs.</t>
  </si>
  <si>
    <t>Total estimated hrs./Total actual hrs.</t>
  </si>
  <si>
    <t>Monthly quality</t>
  </si>
  <si>
    <t xml:space="preserve">Unprecise input jobs </t>
  </si>
  <si>
    <t>Total completed QC passed jobs in a month / Total completed  jobs in a month</t>
  </si>
  <si>
    <t xml:space="preserve"> Cumulative Total</t>
  </si>
  <si>
    <r>
      <t>Monthly Quality</t>
    </r>
    <r>
      <rPr>
        <b/>
        <sz val="11"/>
        <color rgb="FFFFFF00"/>
        <rFont val="Calibri"/>
        <family val="2"/>
        <scheme val="minor"/>
      </rPr>
      <t xml:space="preserve"> </t>
    </r>
    <r>
      <rPr>
        <sz val="11"/>
        <color rgb="FFFFFF00"/>
        <rFont val="Calibri"/>
        <family val="2"/>
        <scheme val="minor"/>
      </rPr>
      <t>(External)</t>
    </r>
  </si>
  <si>
    <t>Productive Hrs. /Capacity Hrs.</t>
  </si>
  <si>
    <t>Ratio of the total productive Hrs to the available capcity of the team in a month</t>
  </si>
  <si>
    <t>Ratio of completed jobs Estimated Hrs. to the Actual Hrs. in a month</t>
  </si>
  <si>
    <t xml:space="preserve">Monthly Billable Ratio </t>
  </si>
  <si>
    <t xml:space="preserve"> Execution mistakes month wise</t>
  </si>
  <si>
    <t>Monthly Errors based on unprecise input</t>
  </si>
  <si>
    <t>Monthly Errors based on execution mistakes</t>
  </si>
  <si>
    <t xml:space="preserve">KPI Definitions </t>
  </si>
  <si>
    <t>Ratio of completed jobs of QC passed jobs to the total jobs completed in a month</t>
  </si>
  <si>
    <t>Total Jobs completed on time in amonth</t>
  </si>
  <si>
    <t>Total Ontime completed jobs / Total number jobs completed in amonth</t>
  </si>
  <si>
    <t>Cumulative Number of unprecise inputs of a each task in a month</t>
  </si>
  <si>
    <t>Cumulative Number of execution mistakes of a each task in a month</t>
  </si>
  <si>
    <t>Productive  Hours 
(Billable Hrs.)</t>
  </si>
  <si>
    <t>CKSA</t>
  </si>
  <si>
    <t>Month
(Mon - YY)</t>
  </si>
  <si>
    <t>Location</t>
  </si>
  <si>
    <t>Team</t>
  </si>
  <si>
    <t xml:space="preserve">GEC </t>
  </si>
  <si>
    <t>SKC</t>
  </si>
  <si>
    <t>CIT</t>
  </si>
  <si>
    <t>CHD</t>
  </si>
  <si>
    <t>CUS</t>
  </si>
  <si>
    <t>GFC</t>
  </si>
  <si>
    <t>MM</t>
  </si>
  <si>
    <t>Weekly working Hrs.  45</t>
  </si>
  <si>
    <t>Gnanasekaran G</t>
  </si>
  <si>
    <t>Priyadharshini S</t>
  </si>
  <si>
    <t>IT</t>
  </si>
  <si>
    <r>
      <rPr>
        <b/>
        <sz val="12"/>
        <color rgb="FFFFFF00"/>
        <rFont val="Calibri"/>
        <family val="2"/>
        <scheme val="minor"/>
      </rPr>
      <t>IT</t>
    </r>
    <r>
      <rPr>
        <b/>
        <sz val="12"/>
        <color rgb="FFFFFFFF"/>
        <rFont val="Calibri"/>
        <family val="2"/>
        <scheme val="minor"/>
      </rPr>
      <t xml:space="preserve"> Team</t>
    </r>
  </si>
  <si>
    <t>Feasibility Study</t>
  </si>
  <si>
    <t>Development / Coding / Data Modelling</t>
  </si>
  <si>
    <t>Training / Self Study</t>
  </si>
  <si>
    <t>Functional Testing / Code review / Checking / Documentation</t>
  </si>
  <si>
    <t>Data Transformation / Schema / Data Modelling</t>
  </si>
  <si>
    <t>Supporting Core functionalities/ Job Discussion, Job Related Meetings etc</t>
  </si>
  <si>
    <t>Core Jobs of particular stream</t>
  </si>
  <si>
    <t>Prework to check the feasibility</t>
  </si>
  <si>
    <t>Network issue, Hardware issue, Software issue etc related to IT</t>
  </si>
  <si>
    <t xml:space="preserve">Product training, HR Training etc considering Knowledge activities </t>
  </si>
  <si>
    <t>GEC</t>
  </si>
  <si>
    <t>CKS</t>
  </si>
  <si>
    <t>CTX</t>
  </si>
  <si>
    <t>Prasanna VK</t>
  </si>
  <si>
    <t>Testing / Checking / Documentation / Support</t>
  </si>
  <si>
    <t>Types / Documents</t>
  </si>
  <si>
    <t>Document ID</t>
  </si>
  <si>
    <t>Data Extraction / Loading</t>
  </si>
  <si>
    <t>BI Dashboards / User Interface / DAX / Cleansing</t>
  </si>
  <si>
    <t>Query / Scripting</t>
  </si>
  <si>
    <t>Version #</t>
  </si>
  <si>
    <t>Aravindh A</t>
  </si>
  <si>
    <t>Order Intake Project</t>
  </si>
  <si>
    <t>Version 2</t>
  </si>
  <si>
    <t>PBI</t>
  </si>
  <si>
    <t>Loaded the data for the BU Probability to DW in the production</t>
  </si>
  <si>
    <t>Global Marketing Project</t>
  </si>
  <si>
    <t>Initial Version</t>
  </si>
  <si>
    <t>Power Apps</t>
  </si>
  <si>
    <t>Worked on the Power Apps to create the Solution to have an app</t>
  </si>
  <si>
    <t>Worked on the Creating the App for to create the Form</t>
  </si>
  <si>
    <t>Worked on the Form to getting the data</t>
  </si>
  <si>
    <t>Optional Holiday</t>
  </si>
  <si>
    <t>New Year Holiday</t>
  </si>
  <si>
    <t>Worked on the Quotation/Invoice Entry Form</t>
  </si>
  <si>
    <t>Worked on the Quotation/Invoice view Form</t>
  </si>
  <si>
    <t>Loaded the data for the BU Probability to DW in the production(Revised file came for January)</t>
  </si>
  <si>
    <t>Meeting</t>
  </si>
  <si>
    <t>Attended with ADP meeting regarding the Tax Submission</t>
  </si>
  <si>
    <t>Pongal celebration</t>
  </si>
  <si>
    <t>Worked on the new list in the sharepoint from Global Marketing</t>
  </si>
  <si>
    <t>Had a discussion with Bettina about to work with new List from the Global Marketing sharepoint</t>
  </si>
  <si>
    <t>Pongal Holiday</t>
  </si>
  <si>
    <t>Leave</t>
  </si>
  <si>
    <t>Headcounts 3</t>
  </si>
  <si>
    <t>Worked on the Creating the App for to create the Form and connected to the list</t>
  </si>
  <si>
    <t>Worked on the Form to getting the data from the list</t>
  </si>
  <si>
    <t>Worked on the Quotation/Invoice Entry Form to combine bot the screen into single screen</t>
  </si>
  <si>
    <t>worked on the logic for splitting the percentage and amount for each BU</t>
  </si>
  <si>
    <t>Call with Bettina</t>
  </si>
  <si>
    <t>Worked on the View screen to list the Invoices and done the logic for edit button</t>
  </si>
  <si>
    <t>Worked on the Form to include the "MPS" which was missed on the initial requirement. Have change the entrie logic that new BU has added</t>
  </si>
  <si>
    <t>Worked on BU allignment in the new Entry screen and delivered the First version of the App</t>
  </si>
  <si>
    <t>Worked on the power automate to convert the cost into EUR and USD Currency and update in the list</t>
  </si>
  <si>
    <t>Worked on the adding the extra logic requested by Bettina, to handle the similar invoice/Quatotaion needs to duplicate</t>
  </si>
  <si>
    <t xml:space="preserve">Worked on the copy Button in View screen </t>
  </si>
  <si>
    <t>Worked on the copy Button in View screen and Started to handle the Exchange rate conversion within the App</t>
  </si>
  <si>
    <t xml:space="preserve">Worked on the Exchange Rate conversion </t>
  </si>
  <si>
    <t>Worked on the Exchange Rate conversion connected to a list within Power Apps</t>
  </si>
  <si>
    <t xml:space="preserve">Worked on the Exchange Rate conversion connected to a list within Power Apps </t>
  </si>
  <si>
    <t>KeyTech Project</t>
  </si>
  <si>
    <t>ETL</t>
  </si>
  <si>
    <t>Discussed about the new Requirement for Doing ETL for Keytech</t>
  </si>
  <si>
    <t xml:space="preserve">Worked and Tested the Power apps after implementing the Exchange Rate conversion </t>
  </si>
  <si>
    <t>Worked on the Power Bi Visuals for the Global Marketing</t>
  </si>
  <si>
    <t>Learned about the Adding Power BI Viauslas in Power Apps</t>
  </si>
  <si>
    <t>Keytech  Project</t>
  </si>
  <si>
    <t>Flow Heater</t>
  </si>
  <si>
    <t>Analysing and worked on initial setup for generating file from DB to Keytech sharepath</t>
  </si>
  <si>
    <t>Worked on the issue related to Herbold employees are not able to access the power BI, later found that file access has been not given after giving it the issue got resolved.</t>
  </si>
  <si>
    <t>Worked on ETL for Keytech get the data from DB (Flow heator)</t>
  </si>
  <si>
    <t>Learned about Debugging the power apps and trace it</t>
  </si>
  <si>
    <t>New Project Discussion</t>
  </si>
  <si>
    <t>SAP</t>
  </si>
  <si>
    <t>Discussed about the new Etl from SAP to Data warehouse 
Discussed about the additional requirement in Keytech Project</t>
  </si>
  <si>
    <t>Worked on ETL for Keytech get the data from DB to the file</t>
  </si>
  <si>
    <t>Learned about in Flow Heater appending the existing file</t>
  </si>
  <si>
    <t>Worked on ETL for Keytech get the data from existing file into file</t>
  </si>
  <si>
    <t>Learned about in Power Bi integration into Power Apps</t>
  </si>
  <si>
    <t>Moriz Project</t>
  </si>
  <si>
    <t>Worked on the Flow heater configure the ETL with the csv file sent by Moritz</t>
  </si>
  <si>
    <t>Discussed with Ralf regarding the HerboldCRM data to analysed with Existing Query</t>
  </si>
  <si>
    <t>Herbold Intergration PowerBI</t>
  </si>
  <si>
    <t>Worked on the sql query comparision with existing column with Herbold CRM data and analysed the fields which are all not part of that Herbold Data</t>
  </si>
  <si>
    <t>BI</t>
  </si>
  <si>
    <t>Power Bi Integration with Power Apps</t>
  </si>
  <si>
    <t>Version 1</t>
  </si>
  <si>
    <t>Worked on the Global marketing power bi integration with power apps</t>
  </si>
  <si>
    <t>KeyTech Update on SP</t>
  </si>
  <si>
    <t>Stored Procedures</t>
  </si>
  <si>
    <t>Discussed and worked on the Keytech storedprocedures change</t>
  </si>
  <si>
    <t>-</t>
  </si>
  <si>
    <t>Essential Traning</t>
  </si>
  <si>
    <t>Training</t>
  </si>
  <si>
    <t>Essential Training (15 modules) completed</t>
  </si>
  <si>
    <t xml:space="preserve">Column validation with Priyadharshini for the Herbold Integration </t>
  </si>
  <si>
    <t>Worked on the sql query(Won) comparision with existing column with Herbold CRM data and analysed the fields which are all not part of that Herbold Data</t>
  </si>
  <si>
    <t>Discussed with Ralf regarding the Won SQL query and findout the missed columns and dervice the static values missed columns.</t>
  </si>
  <si>
    <t>SQL</t>
  </si>
  <si>
    <t xml:space="preserve">Performance optmization in SQL with joins </t>
  </si>
  <si>
    <t>Worked on the DimeSalesHerboldCustomer to get the customer details with country region and georegion</t>
  </si>
  <si>
    <t>Performance optmization in SQL with joins and Indexing</t>
  </si>
  <si>
    <t>Mar-25</t>
  </si>
  <si>
    <t xml:space="preserve">Transformation Essentials </t>
  </si>
  <si>
    <t>Performance optmization in SQL with Clustered index</t>
  </si>
  <si>
    <t>Performance optmization in SQL with Non-Clustered index</t>
  </si>
  <si>
    <t>Azure Databricks</t>
  </si>
  <si>
    <t>Learned about Pyspark (DataFrame - Reading)</t>
  </si>
  <si>
    <t>Disussed about the Herbold integration missing columns with Sasha and Patricia along with Priya and worked on the changes spoked during the call</t>
  </si>
  <si>
    <t>Learned about Pyspark (DataFrame - Performance Optimization)</t>
  </si>
  <si>
    <t>Performance optmization in SQL with Columnstore index</t>
  </si>
  <si>
    <t>Learned about Pyspark (RDD- Writing)</t>
  </si>
  <si>
    <t>Performance optmization in SQL with Joins</t>
  </si>
  <si>
    <t>Learned about Pyspark (RDD) file handling</t>
  </si>
  <si>
    <t xml:space="preserve">Column validation with Priyadharshini, Ralf and Team for the Herbold Integration </t>
  </si>
  <si>
    <t>Worked on the column level changes in the Query(Lost)</t>
  </si>
  <si>
    <t xml:space="preserve">Column validation with Priyadharshini, Sacha for the Herbold Integration </t>
  </si>
  <si>
    <t>Worked on the column level changes in the Query(Open)</t>
  </si>
  <si>
    <t>Learned about Pyspark (Dataframe)</t>
  </si>
  <si>
    <t>Training / Code of Ethical</t>
  </si>
  <si>
    <t>Ethical code of conduct in Workday</t>
  </si>
  <si>
    <t>Worked on the column level changes in the Query(order probability and order Lost type)</t>
  </si>
  <si>
    <t>Prepared the woraround document for Herbold integration projects susggested by Ralf,Sascha,Moritz and Patricia</t>
  </si>
  <si>
    <t>Data Warehouse</t>
  </si>
  <si>
    <t>Learned about Datawarehouse concepts ( Facts and Dimentions )</t>
  </si>
  <si>
    <t>Learned about the SQL Execution Plan</t>
  </si>
  <si>
    <t>Learned about Datawarehouse concepts ( Schemas )</t>
  </si>
  <si>
    <t>Worked on the double count issue , Lost /Not realized issue</t>
  </si>
  <si>
    <t>Discussed with business team about the recent development</t>
  </si>
  <si>
    <t>Worked on the open issues discussed over the call</t>
  </si>
  <si>
    <t>Discussed with patricia and sascha along with priya</t>
  </si>
  <si>
    <t>Worked on the changes discussed with the meeting</t>
  </si>
  <si>
    <t>Learned about the SQL Indexs and Optimization</t>
  </si>
  <si>
    <t>Azure</t>
  </si>
  <si>
    <t>Learned about the  Databricks to on-premise SQL Server</t>
  </si>
  <si>
    <t>Feasibility study about to connect the Azure Databricks to on-premise SQL Server</t>
  </si>
  <si>
    <t>Holiday</t>
  </si>
  <si>
    <t xml:space="preserve">Learned about the different cases SQL performance tuning and Execution Plan </t>
  </si>
  <si>
    <t>Worked on the Fk_Bpstatus in open cases to include the IN_OPN and QU_INWORK</t>
  </si>
  <si>
    <t>Discussed with business team and Priya about the open cases in Power Bi Report</t>
  </si>
  <si>
    <t>Learned about the Joins with Group by clauses</t>
  </si>
  <si>
    <t xml:space="preserve">Worked on the logic for Total Probability </t>
  </si>
  <si>
    <t>Added the project manager and compare the Herbold data with our DW data</t>
  </si>
  <si>
    <t>Learned about Datawarehouse concepts (Facts and Dimentions)</t>
  </si>
  <si>
    <t>Learned about the SQL Clustered Indexs and its Optimization</t>
  </si>
  <si>
    <t>Learned about the  Databricks to on-premise SQL Server connecting the data base</t>
  </si>
  <si>
    <t>Learned about the Where and Having  clauses alogn with Group BY</t>
  </si>
  <si>
    <t>Anti birabary Traning</t>
  </si>
  <si>
    <t xml:space="preserve">checking the fk_phase and change the flow heater </t>
  </si>
  <si>
    <t>SAP Transaction FactSapZFIOP</t>
  </si>
  <si>
    <t>DW</t>
  </si>
  <si>
    <t>adding the posting the date in factsapksb1</t>
  </si>
  <si>
    <t>Worked and Tested the  posting the date in factsapksb1</t>
  </si>
  <si>
    <t>General Data Protection Regulation Training</t>
  </si>
  <si>
    <t>call with ralf for 2 new task</t>
  </si>
  <si>
    <t>Learned about Datawarehouse concepts (Start schema)</t>
  </si>
  <si>
    <t>Done the changes in order value and Order on date</t>
  </si>
  <si>
    <t>Incident Tracking</t>
  </si>
  <si>
    <t>working on incident tracker ralf project analysing the requirement document and created the sharepoint list</t>
  </si>
  <si>
    <t>Worked on the creation of the power apps</t>
  </si>
  <si>
    <t>PowerApp Form for Salesforce Incident Tracking List</t>
  </si>
  <si>
    <t>Power App</t>
  </si>
  <si>
    <t>Designed the Entry Screen for incident tracking</t>
  </si>
  <si>
    <t>Designed the ViewScreen and the logic for entry screen for incident tracking</t>
  </si>
  <si>
    <t>Meetings</t>
  </si>
  <si>
    <t>Have discussed with Ralf and Wolfgang for power app an ddiscussed with jule over new project</t>
  </si>
  <si>
    <t>Worked on the user data card and view my incident page to make the incidents created by them selfs</t>
  </si>
  <si>
    <t>Discussed woth sanjeev Mid year review</t>
  </si>
  <si>
    <t>FactZfiop Integration</t>
  </si>
  <si>
    <t>Worked on the Floew heater to load the Zfiop transaction from SAP
Created the table structure in General Import and DW database to load the data and configure the Flow heater</t>
  </si>
  <si>
    <t>QADAccountReceivable</t>
  </si>
  <si>
    <t>Created the Etl through Flow Heater designer. Created the table structure in General Import and DW for staging table and the permant table</t>
  </si>
  <si>
    <t>Worked on the formating the Date fields(eff Date , Date and Due Date)</t>
  </si>
  <si>
    <t>Learned about the Multi selct column setting In Power apps and practised</t>
  </si>
  <si>
    <t>Worked on the Notes and the Status column in Open cases Query including all the data available for Coperion as Null and for Herbold from Integration</t>
  </si>
  <si>
    <t>Learned about the Union and Unoin All in SQL</t>
  </si>
  <si>
    <t>Holiday/Leave</t>
  </si>
  <si>
    <t>Have discussed with Lorenz about tne new intergration project from Automated Engineering Team.</t>
  </si>
  <si>
    <t>Worked on the logic of duplicating the record and added the reset button on the "View Screen" and "View all My incident" screen</t>
  </si>
  <si>
    <t>Have discussed with Ralf , regarding multple projects input folder and the access related issues.
Dicusse with Subba about the SAP ZFIOP related data issues.</t>
  </si>
  <si>
    <t>QADAccount Receiable</t>
  </si>
  <si>
    <t>Worked on QAD Account Receiable folder and created a new folder for QAD customer and Worked on the Robo Copy for moving the file</t>
  </si>
  <si>
    <t>Worked on the access issue related tho the power app for existing Azure actove directory group suers</t>
  </si>
  <si>
    <t>Learned about Datawarehouse concepts about Snowflake scheme in detailed</t>
  </si>
  <si>
    <t>Learned about Datawarehouse concepts about Start scheme in detailed</t>
  </si>
  <si>
    <t>Discussed With Subba regarding the iddue on ZFIOP file generation from SAP.</t>
  </si>
  <si>
    <t>Half Leave</t>
  </si>
  <si>
    <t>Worked on power done changes as per wolfgang's requirement</t>
  </si>
  <si>
    <t>Discuessed with Ralf and Wofgang regaridng the currecnt changes in Power app</t>
  </si>
  <si>
    <t>Worked on the robocopy cmd file to pick the file from their server to place it in GSS4 server</t>
  </si>
  <si>
    <t>Discuessed with Ralf regarding the Robocopy and flow heater</t>
  </si>
  <si>
    <t>EECBOM</t>
  </si>
  <si>
    <t>Worked with flowheater to fetch the xml file and loaded the test table in DW</t>
  </si>
  <si>
    <t>QAD</t>
  </si>
  <si>
    <t>Worked on  QAD customer and Worked on the Flow heater to process the ata into DW</t>
  </si>
  <si>
    <t>Coprion Global Marketing</t>
  </si>
  <si>
    <t>Worked on the changes in the report for coprion globalmarketing report adding filter like status and BU.</t>
  </si>
  <si>
    <t>Positive Parenting</t>
  </si>
  <si>
    <t>Learned about Datawarehouse concepts about Snowflake  scheme in detailed</t>
  </si>
  <si>
    <t>Worked with Subba and Karthik to resolve the issue with two columns inside the file</t>
  </si>
  <si>
    <t>Discuessed with Karthik and subba about the inut file issue and other meetings</t>
  </si>
  <si>
    <t>Learned about Datawarehouse concepts about Fact and Dimentions in detailed</t>
  </si>
  <si>
    <t>Worked on the rdatatype change for few columns in the Customer Table and tested it</t>
  </si>
  <si>
    <t>Learned about Database CRUD Operations and have hands on with that</t>
  </si>
  <si>
    <t>Worked on the changinfg the schedule timeing for robo copy to pickup the file</t>
  </si>
  <si>
    <t>Learned about Flow Heater loading XML files with UTF -16 and flatted the array type column</t>
  </si>
  <si>
    <t>Worked on the issue pretended to the issue with two columns</t>
  </si>
  <si>
    <t>Learned about Flow Heater loading XML files</t>
  </si>
  <si>
    <t xml:space="preserve">Worked on the issue that wolfgang reported about the user story number beyond 500 is not working. </t>
  </si>
  <si>
    <t>Worked on the increasing the column length in the factsapzfiop table for [Notiz AUF] and [Notiz] column to integrate the full records. Changed in the table structure with staging table and the fact table as well flow heater also.</t>
  </si>
  <si>
    <t>Analysed the [Bruttowert] and    [Betrag Hauswähr] to change in money datatype</t>
  </si>
  <si>
    <t>FactNavStructuralPlanLine</t>
  </si>
  <si>
    <t>Worked on the FactNavStructuralPlanLine table to add newly  DW reading from Navion</t>
  </si>
  <si>
    <t>Worked on the adding  46 columns in DW  table and altertred the storedprocedures</t>
  </si>
  <si>
    <t>Salesforce to DW integration</t>
  </si>
  <si>
    <t>Worked on the integration part from salesforce to DW</t>
  </si>
  <si>
    <t>Worked on the integration part creating the storeprocedure and created afunction to slipt the words between 50 character</t>
  </si>
  <si>
    <t>Worked on the issue pretainted to two column from Zfiop and worked with SAP team and Patrick to find the issue</t>
  </si>
  <si>
    <t>Worked with Patru from SAP team to find the duplicate that causing the file with generating empty value and changed the robocopy program from copy the file to move the file.</t>
  </si>
  <si>
    <t>QADAccount Receivable</t>
  </si>
  <si>
    <t>Added the two column in the QAD account receiable table. Altered the table structure and changed the configuration from the flow heater and tested</t>
  </si>
  <si>
    <t>Coprion Global Markting Power BI</t>
  </si>
  <si>
    <t>Worked on the multi select BU in the report configured in the power app.</t>
  </si>
  <si>
    <t>SalesForce Integration to DW</t>
  </si>
  <si>
    <t>Call with Ralf to discuss about the converting the xml to the sql variables</t>
  </si>
  <si>
    <t>Worked on the stored procedure that will assign the values to the declared variable from the XML</t>
  </si>
  <si>
    <t>Worked on the query will insert the data from each category.</t>
  </si>
  <si>
    <t>Learned about the dataframes and RDDs and DataSets</t>
  </si>
  <si>
    <t>Worked on the splittable table intertion for XML files</t>
  </si>
  <si>
    <t>Learned about the pivot,unpivot and indexes</t>
  </si>
  <si>
    <t>Checked the ZFIOP files with recent fix and connect SAP team and with Patrick</t>
  </si>
  <si>
    <t>Learned about Python Basics</t>
  </si>
  <si>
    <t xml:space="preserve">Learned about Python Data types </t>
  </si>
  <si>
    <t>Learned about Python Data strucutres</t>
  </si>
  <si>
    <t>Learned about Python in buildt functions</t>
  </si>
  <si>
    <t>Laura's Project</t>
  </si>
  <si>
    <t>Checking the Item classification column in nasion tables checking with stored procedures</t>
  </si>
  <si>
    <t>Learned about python object oriented concepts</t>
  </si>
  <si>
    <t>Have find the item classification column to help them to create a PBI report</t>
  </si>
  <si>
    <t>Learned about Python methods</t>
  </si>
  <si>
    <t>Learned about SSIS Source transformations</t>
  </si>
  <si>
    <t>Learned about Python OOPS concepts</t>
  </si>
  <si>
    <t>Learned about Python pandas and Numpy</t>
  </si>
  <si>
    <t>Jule's Project</t>
  </si>
  <si>
    <t>Analyze the requirement and started working on the import the data from SAP to our DW</t>
  </si>
  <si>
    <t>Learned SQL intergration with SSIS</t>
  </si>
  <si>
    <t>SAP OOIS Intergration to DW</t>
  </si>
  <si>
    <t>Defined the Table Structure for FactsapOOiSstaging in the Development server , Defining the Etl process in flow Heater</t>
  </si>
  <si>
    <t>Learn the date and time funcitons on SQL</t>
  </si>
  <si>
    <t>Learn the String Manipulation in SQL</t>
  </si>
  <si>
    <t>Worked on the integration process in Flow Heater for FactSAPOOISStaging</t>
  </si>
  <si>
    <t>written the stored procedures sp_loadfactsapOOIS to load the data from staging to fact table</t>
  </si>
  <si>
    <t>Learn the date and string manipulation in SQL</t>
  </si>
  <si>
    <t>Worked on the issues stored procedure sp_loadfactsapoois</t>
  </si>
  <si>
    <t>Moved the deliverables to the productions(Tables and stored procedures)</t>
  </si>
  <si>
    <t>Learned about different types of data in SQL</t>
  </si>
  <si>
    <t>Learned about XML operations in SQL</t>
  </si>
  <si>
    <t>Disussion with Ralf</t>
  </si>
  <si>
    <t>Camos Project</t>
  </si>
  <si>
    <t>Worked on the json conversion project from SQL</t>
  </si>
  <si>
    <t>Learned about json conversion from sql tables</t>
  </si>
  <si>
    <t>Learned about Unity Catalog in databricks</t>
  </si>
  <si>
    <t>EEC BOMM</t>
  </si>
  <si>
    <t>Disussed with Lorenz regarding the EEC BOM Project</t>
  </si>
  <si>
    <t>Learn the String functions and manipulation on SQL</t>
  </si>
  <si>
    <t>Learned about different types of data in Python</t>
  </si>
  <si>
    <t>Learned about JSON operations in SQL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</si>
</sst>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dd/mm/yyyy"/>
  </numFmts>
  <fonts count="27" x14ac:knownFonts="1">
    <font>
      <sz val="11"/>
      <color theme="1"/>
      <name val="Calibri"/>
      <family val="2"/>
      <scheme val="minor"/>
    </font>
    <font>
      <b/>
      <sz val="11"/>
      <color theme="1"/>
      <name val="Calibri"/>
      <family val="2"/>
      <scheme val="minor"/>
    </font>
    <font>
      <b/>
      <sz val="28"/>
      <color theme="1"/>
      <name val="Calibri"/>
      <family val="2"/>
      <scheme val="minor"/>
    </font>
    <font>
      <sz val="11"/>
      <color theme="1"/>
      <name val="Calibri"/>
      <family val="2"/>
      <scheme val="minor"/>
    </font>
    <font>
      <sz val="10.5"/>
      <color rgb="FF000000"/>
      <name val="Calibri"/>
      <family val="2"/>
      <scheme val="minor"/>
    </font>
    <font>
      <b/>
      <sz val="12"/>
      <color theme="0"/>
      <name val="Calibri"/>
      <family val="2"/>
      <scheme val="minor"/>
    </font>
    <font>
      <b/>
      <sz val="11"/>
      <color rgb="FF000000"/>
      <name val="Calibri"/>
      <family val="2"/>
      <scheme val="minor"/>
    </font>
    <font>
      <b/>
      <sz val="10"/>
      <color theme="0"/>
      <name val="Calibri"/>
      <family val="2"/>
      <scheme val="minor"/>
    </font>
    <font>
      <b/>
      <sz val="10"/>
      <name val="Calibri"/>
      <family val="2"/>
      <scheme val="minor"/>
    </font>
    <font>
      <sz val="11"/>
      <name val="Calibri"/>
      <family val="2"/>
      <scheme val="minor"/>
    </font>
    <font>
      <sz val="10"/>
      <name val="Calibri"/>
      <family val="2"/>
      <scheme val="minor"/>
    </font>
    <font>
      <b/>
      <sz val="11"/>
      <color theme="0"/>
      <name val="Calibri"/>
      <family val="2"/>
      <scheme val="minor"/>
    </font>
    <font>
      <b/>
      <sz val="12"/>
      <color rgb="FFFFFFFF"/>
      <name val="Calibri"/>
      <family val="2"/>
      <scheme val="minor"/>
    </font>
    <font>
      <b/>
      <sz val="12"/>
      <color rgb="FFFFFF00"/>
      <name val="Calibri"/>
      <family val="2"/>
      <scheme val="minor"/>
    </font>
    <font>
      <sz val="11"/>
      <color rgb="FF000000"/>
      <name val="Calibri"/>
      <family val="2"/>
      <scheme val="minor"/>
    </font>
    <font>
      <b/>
      <sz val="11"/>
      <color rgb="FFFFFF00"/>
      <name val="Calibri"/>
      <family val="2"/>
      <scheme val="minor"/>
    </font>
    <font>
      <sz val="11"/>
      <color rgb="FFFFFF00"/>
      <name val="Calibri"/>
      <family val="2"/>
      <scheme val="minor"/>
    </font>
    <font>
      <b/>
      <sz val="9"/>
      <color indexed="81"/>
      <name val="Tahoma"/>
      <family val="2"/>
    </font>
    <font>
      <b/>
      <sz val="16"/>
      <color rgb="FF000000"/>
      <name val="Calibri"/>
      <family val="2"/>
    </font>
    <font>
      <b/>
      <sz val="14"/>
      <color rgb="FFFFFF15"/>
      <name val="Calibri"/>
      <family val="2"/>
      <scheme val="minor"/>
    </font>
    <font>
      <sz val="11"/>
      <color rgb="FFFFFF15"/>
      <name val="Calibri"/>
      <family val="2"/>
      <scheme val="minor"/>
    </font>
    <font>
      <b/>
      <sz val="14"/>
      <color rgb="FFFFFF99"/>
      <name val="Calibri"/>
      <family val="2"/>
      <scheme val="minor"/>
    </font>
    <font>
      <sz val="11"/>
      <color rgb="FFFFFF99"/>
      <name val="Calibri"/>
      <family val="2"/>
      <scheme val="minor"/>
    </font>
    <font>
      <b/>
      <sz val="11"/>
      <color theme="0" tint="-4.9989318521683403E-2"/>
      <name val="Calibri"/>
      <family val="2"/>
      <scheme val="minor"/>
    </font>
    <font>
      <sz val="11"/>
      <color theme="0" tint="-4.9989318521683403E-2"/>
      <name val="Calibri"/>
      <family val="2"/>
      <scheme val="minor"/>
    </font>
    <font>
      <sz val="8"/>
      <name val="Calibri"/>
      <family val="2"/>
      <scheme val="minor"/>
    </font>
    <font>
      <sz val="12"/>
      <color theme="1"/>
      <name val="Calibri"/>
      <family val="2"/>
      <scheme val="minor"/>
    </font>
  </fonts>
  <fills count="11">
    <fill>
      <patternFill patternType="none"/>
    </fill>
    <fill>
      <patternFill patternType="gray125"/>
    </fill>
    <fill>
      <patternFill patternType="solid">
        <fgColor rgb="FFEAEAEA"/>
        <bgColor indexed="64"/>
      </patternFill>
    </fill>
    <fill>
      <patternFill patternType="solid">
        <fgColor theme="9" tint="0.59999389629810485"/>
        <bgColor indexed="64"/>
      </patternFill>
    </fill>
    <fill>
      <patternFill patternType="solid">
        <fgColor rgb="FF3F5A68"/>
        <bgColor indexed="64"/>
      </patternFill>
    </fill>
    <fill>
      <patternFill patternType="solid">
        <fgColor theme="8" tint="0.79998168889431442"/>
        <bgColor theme="8" tint="0.79998168889431442"/>
      </patternFill>
    </fill>
    <fill>
      <patternFill patternType="solid">
        <fgColor theme="7" tint="0.79998168889431442"/>
        <bgColor indexed="64"/>
      </patternFill>
    </fill>
    <fill>
      <patternFill patternType="solid">
        <fgColor theme="7" tint="0.79995117038483843"/>
        <bgColor indexed="64"/>
      </patternFill>
    </fill>
    <fill>
      <patternFill patternType="solid">
        <fgColor theme="9" tint="-0.249977111117893"/>
        <bgColor indexed="64"/>
      </patternFill>
    </fill>
    <fill>
      <patternFill patternType="solid">
        <fgColor theme="5" tint="-0.249977111117893"/>
        <bgColor indexed="64"/>
      </patternFill>
    </fill>
    <fill>
      <patternFill patternType="solid">
        <fgColor rgb="FFC4DAE6"/>
        <bgColor indexed="64"/>
      </patternFill>
    </fill>
  </fills>
  <borders count="21">
    <border>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style="thin">
        <color theme="0" tint="-0.14999847407452621"/>
      </right>
      <top/>
      <bottom/>
      <diagonal/>
    </border>
    <border>
      <left style="thin">
        <color indexed="64"/>
      </left>
      <right style="thin">
        <color theme="0" tint="-0.14999847407452621"/>
      </right>
      <top/>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2">
    <xf numFmtId="0" fontId="0" fillId="0" borderId="0"/>
    <xf numFmtId="9" fontId="3" fillId="0" borderId="0" applyFont="0" applyFill="0" applyBorder="0" applyAlignment="0" applyProtection="0"/>
  </cellStyleXfs>
  <cellXfs count="160">
    <xf numFmtId="0" fontId="0" fillId="0" borderId="0" xfId="0"/>
    <xf numFmtId="0" fontId="0" fillId="0" borderId="0" xfId="0" applyAlignment="1">
      <alignment vertical="center"/>
    </xf>
    <xf numFmtId="0" fontId="0" fillId="0" borderId="0" xfId="0" applyAlignment="1">
      <alignment horizontal="center"/>
    </xf>
    <xf numFmtId="0" fontId="0" fillId="0" borderId="4" xfId="0" applyBorder="1" applyAlignment="1">
      <alignment vertical="center"/>
    </xf>
    <xf numFmtId="0" fontId="0" fillId="0" borderId="4" xfId="0" applyBorder="1" applyAlignment="1">
      <alignment wrapText="1"/>
    </xf>
    <xf numFmtId="0" fontId="0" fillId="0" borderId="4" xfId="0" applyBorder="1"/>
    <xf numFmtId="0" fontId="5" fillId="4" borderId="8" xfId="0" applyFont="1" applyFill="1" applyBorder="1" applyAlignment="1">
      <alignment horizontal="center" vertical="center" wrapText="1"/>
    </xf>
    <xf numFmtId="0" fontId="7" fillId="4" borderId="11" xfId="0" applyFont="1" applyFill="1" applyBorder="1" applyAlignment="1">
      <alignment horizontal="center" vertical="center" wrapText="1"/>
    </xf>
    <xf numFmtId="0" fontId="7" fillId="4" borderId="12" xfId="0" applyFont="1" applyFill="1" applyBorder="1" applyAlignment="1">
      <alignment horizontal="center" vertical="center" wrapText="1"/>
    </xf>
    <xf numFmtId="0" fontId="7" fillId="4" borderId="13" xfId="0" applyFont="1" applyFill="1" applyBorder="1" applyAlignment="1">
      <alignment horizontal="center" vertical="center" wrapText="1"/>
    </xf>
    <xf numFmtId="0" fontId="7" fillId="4" borderId="10" xfId="0" applyFont="1" applyFill="1" applyBorder="1" applyAlignment="1">
      <alignment horizontal="center" vertical="center" wrapText="1"/>
    </xf>
    <xf numFmtId="0" fontId="5" fillId="4" borderId="9" xfId="0" applyFont="1" applyFill="1" applyBorder="1" applyAlignment="1">
      <alignment horizontal="center" vertical="center" wrapText="1"/>
    </xf>
    <xf numFmtId="0" fontId="1" fillId="2" borderId="7" xfId="0" applyFont="1" applyFill="1" applyBorder="1" applyAlignment="1">
      <alignment horizontal="center" vertical="center"/>
    </xf>
    <xf numFmtId="0" fontId="0" fillId="2" borderId="6" xfId="0" applyFill="1" applyBorder="1" applyAlignment="1">
      <alignment vertical="center"/>
    </xf>
    <xf numFmtId="0" fontId="7" fillId="4" borderId="12" xfId="0" applyFont="1" applyFill="1" applyBorder="1" applyAlignment="1">
      <alignment horizontal="center" vertical="center"/>
    </xf>
    <xf numFmtId="0" fontId="7" fillId="4" borderId="0" xfId="0" applyFont="1" applyFill="1" applyAlignment="1">
      <alignment horizontal="center" vertical="center" wrapText="1"/>
    </xf>
    <xf numFmtId="0" fontId="8" fillId="3" borderId="4" xfId="0" applyFont="1" applyFill="1" applyBorder="1" applyAlignment="1">
      <alignment horizontal="center" vertical="center" wrapText="1"/>
    </xf>
    <xf numFmtId="0" fontId="8" fillId="0" borderId="4" xfId="0" applyFont="1" applyBorder="1" applyAlignment="1">
      <alignment horizontal="center" vertical="center" wrapText="1"/>
    </xf>
    <xf numFmtId="14" fontId="8" fillId="0" borderId="4" xfId="0" applyNumberFormat="1" applyFont="1" applyBorder="1" applyAlignment="1">
      <alignment horizontal="center" vertical="center" wrapText="1"/>
    </xf>
    <xf numFmtId="0" fontId="4" fillId="5" borderId="4" xfId="0" applyFont="1" applyFill="1" applyBorder="1" applyAlignment="1" applyProtection="1">
      <alignment horizontal="center" vertical="center"/>
      <protection locked="0"/>
    </xf>
    <xf numFmtId="0" fontId="4" fillId="0" borderId="4" xfId="0" applyFont="1" applyBorder="1" applyAlignment="1" applyProtection="1">
      <alignment horizontal="center" vertical="center"/>
      <protection locked="0"/>
    </xf>
    <xf numFmtId="0" fontId="6" fillId="5" borderId="4" xfId="0" applyFont="1" applyFill="1" applyBorder="1" applyAlignment="1" applyProtection="1">
      <alignment horizontal="center" vertical="center"/>
      <protection hidden="1"/>
    </xf>
    <xf numFmtId="0" fontId="6" fillId="0" borderId="4" xfId="0" applyFont="1" applyBorder="1" applyAlignment="1" applyProtection="1">
      <alignment horizontal="center" vertical="center"/>
      <protection hidden="1"/>
    </xf>
    <xf numFmtId="9" fontId="4" fillId="5" borderId="4" xfId="1" applyFont="1" applyFill="1" applyBorder="1" applyAlignment="1" applyProtection="1">
      <alignment horizontal="center" vertical="center"/>
      <protection locked="0"/>
    </xf>
    <xf numFmtId="9" fontId="6" fillId="5" borderId="4" xfId="1" applyFont="1" applyFill="1" applyBorder="1" applyAlignment="1" applyProtection="1">
      <alignment horizontal="center" vertical="center"/>
      <protection hidden="1"/>
    </xf>
    <xf numFmtId="9" fontId="4" fillId="0" borderId="4" xfId="1" applyFont="1" applyBorder="1" applyAlignment="1" applyProtection="1">
      <alignment horizontal="center" vertical="center"/>
      <protection locked="0"/>
    </xf>
    <xf numFmtId="9" fontId="6" fillId="0" borderId="4" xfId="1" applyFont="1" applyBorder="1" applyAlignment="1" applyProtection="1">
      <alignment horizontal="center" vertical="center"/>
      <protection hidden="1"/>
    </xf>
    <xf numFmtId="0" fontId="0" fillId="0" borderId="4" xfId="0" applyBorder="1" applyAlignment="1">
      <alignment horizontal="center" vertical="center"/>
    </xf>
    <xf numFmtId="0" fontId="0" fillId="0" borderId="0" xfId="0" applyAlignment="1">
      <alignment horizontal="center" vertical="center"/>
    </xf>
    <xf numFmtId="0" fontId="0" fillId="0" borderId="0" xfId="0" applyProtection="1">
      <protection locked="0"/>
    </xf>
    <xf numFmtId="0" fontId="11" fillId="4" borderId="9" xfId="0" applyFont="1" applyFill="1" applyBorder="1" applyAlignment="1" applyProtection="1">
      <alignment horizontal="right" vertical="center" wrapText="1"/>
      <protection locked="0"/>
    </xf>
    <xf numFmtId="0" fontId="5" fillId="4" borderId="9" xfId="0" applyFont="1" applyFill="1" applyBorder="1" applyAlignment="1" applyProtection="1">
      <alignment horizontal="center" vertical="center" wrapText="1"/>
      <protection locked="0"/>
    </xf>
    <xf numFmtId="17" fontId="5" fillId="4" borderId="9" xfId="0" applyNumberFormat="1" applyFont="1" applyFill="1" applyBorder="1" applyAlignment="1" applyProtection="1">
      <alignment horizontal="center" vertical="center" wrapText="1"/>
      <protection locked="0"/>
    </xf>
    <xf numFmtId="0" fontId="9" fillId="6" borderId="4" xfId="0" applyFont="1" applyFill="1" applyBorder="1" applyAlignment="1">
      <alignment horizontal="center" vertical="center"/>
    </xf>
    <xf numFmtId="0" fontId="9" fillId="6" borderId="4" xfId="0" applyFont="1" applyFill="1" applyBorder="1" applyAlignment="1">
      <alignment horizontal="center"/>
    </xf>
    <xf numFmtId="0" fontId="10" fillId="6" borderId="4" xfId="0" applyFont="1" applyFill="1" applyBorder="1" applyAlignment="1">
      <alignment horizontal="center" vertical="center"/>
    </xf>
    <xf numFmtId="0" fontId="10" fillId="6" borderId="4" xfId="0" applyFont="1" applyFill="1" applyBorder="1" applyAlignment="1">
      <alignment horizontal="center"/>
    </xf>
    <xf numFmtId="0" fontId="0" fillId="6" borderId="5" xfId="0" applyFill="1" applyBorder="1" applyAlignment="1" applyProtection="1">
      <alignment horizontal="center" vertical="center"/>
      <protection hidden="1"/>
    </xf>
    <xf numFmtId="1" fontId="14" fillId="6" borderId="4" xfId="0" applyNumberFormat="1" applyFont="1" applyFill="1" applyBorder="1" applyAlignment="1" applyProtection="1">
      <alignment horizontal="center" vertical="center"/>
      <protection hidden="1"/>
    </xf>
    <xf numFmtId="9" fontId="4" fillId="6" borderId="4" xfId="1" applyFont="1" applyFill="1" applyBorder="1" applyAlignment="1" applyProtection="1">
      <alignment horizontal="center" vertical="center"/>
      <protection hidden="1"/>
    </xf>
    <xf numFmtId="9" fontId="14" fillId="6" borderId="4" xfId="0" applyNumberFormat="1" applyFont="1" applyFill="1" applyBorder="1" applyAlignment="1" applyProtection="1">
      <alignment horizontal="center" vertical="center"/>
      <protection hidden="1"/>
    </xf>
    <xf numFmtId="0" fontId="0" fillId="4" borderId="0" xfId="0" applyFill="1" applyProtection="1">
      <protection locked="0"/>
    </xf>
    <xf numFmtId="0" fontId="19" fillId="4" borderId="0" xfId="0" applyFont="1" applyFill="1" applyAlignment="1" applyProtection="1">
      <alignment horizontal="center" vertical="center"/>
      <protection locked="0"/>
    </xf>
    <xf numFmtId="164" fontId="19" fillId="4" borderId="0" xfId="0" applyNumberFormat="1" applyFont="1" applyFill="1" applyAlignment="1" applyProtection="1">
      <alignment horizontal="center" vertical="center"/>
      <protection locked="0"/>
    </xf>
    <xf numFmtId="0" fontId="20" fillId="4" borderId="0" xfId="0" applyFont="1" applyFill="1" applyProtection="1">
      <protection locked="0"/>
    </xf>
    <xf numFmtId="0" fontId="22" fillId="4" borderId="0" xfId="0" applyFont="1" applyFill="1" applyAlignment="1" applyProtection="1">
      <alignment horizontal="center"/>
      <protection locked="0"/>
    </xf>
    <xf numFmtId="14" fontId="20" fillId="4" borderId="0" xfId="0" applyNumberFormat="1" applyFont="1" applyFill="1" applyProtection="1">
      <protection locked="0"/>
    </xf>
    <xf numFmtId="0" fontId="5" fillId="4" borderId="12" xfId="0" applyFont="1" applyFill="1" applyBorder="1" applyAlignment="1" applyProtection="1">
      <alignment horizontal="center" vertical="center" wrapText="1"/>
      <protection locked="0"/>
    </xf>
    <xf numFmtId="0" fontId="0" fillId="3" borderId="4" xfId="0" applyFill="1" applyBorder="1" applyProtection="1">
      <protection locked="0"/>
    </xf>
    <xf numFmtId="0" fontId="0" fillId="3" borderId="4" xfId="0" applyFill="1" applyBorder="1" applyAlignment="1" applyProtection="1">
      <alignment horizontal="center" vertical="center"/>
      <protection locked="0"/>
    </xf>
    <xf numFmtId="2" fontId="0" fillId="0" borderId="0" xfId="0" applyNumberFormat="1" applyProtection="1">
      <protection locked="0"/>
    </xf>
    <xf numFmtId="14" fontId="0" fillId="0" borderId="0" xfId="0" applyNumberFormat="1" applyAlignment="1" applyProtection="1">
      <alignment horizontal="center"/>
      <protection locked="0"/>
    </xf>
    <xf numFmtId="1" fontId="0" fillId="0" borderId="0" xfId="0" applyNumberFormat="1" applyProtection="1">
      <protection locked="0"/>
    </xf>
    <xf numFmtId="14" fontId="0" fillId="0" borderId="0" xfId="0" applyNumberFormat="1" applyProtection="1">
      <protection locked="0"/>
    </xf>
    <xf numFmtId="164" fontId="21" fillId="4" borderId="0" xfId="0" applyNumberFormat="1" applyFont="1" applyFill="1" applyAlignment="1" applyProtection="1">
      <alignment horizontal="center" vertical="center" wrapText="1"/>
      <protection hidden="1"/>
    </xf>
    <xf numFmtId="0" fontId="23" fillId="0" borderId="0" xfId="0" applyFont="1" applyProtection="1">
      <protection hidden="1"/>
    </xf>
    <xf numFmtId="0" fontId="24" fillId="0" borderId="0" xfId="0" applyFont="1" applyProtection="1">
      <protection hidden="1"/>
    </xf>
    <xf numFmtId="0" fontId="21" fillId="4" borderId="0" xfId="0" applyFont="1" applyFill="1" applyAlignment="1" applyProtection="1">
      <alignment horizontal="center" vertical="center" wrapText="1"/>
      <protection locked="0"/>
    </xf>
    <xf numFmtId="0" fontId="0" fillId="0" borderId="4" xfId="0" applyBorder="1" applyProtection="1">
      <protection locked="0"/>
    </xf>
    <xf numFmtId="2" fontId="0" fillId="0" borderId="4" xfId="0" applyNumberFormat="1" applyBorder="1" applyProtection="1">
      <protection locked="0"/>
    </xf>
    <xf numFmtId="2" fontId="0" fillId="0" borderId="4" xfId="0" applyNumberFormat="1" applyBorder="1" applyAlignment="1" applyProtection="1">
      <alignment horizontal="center"/>
      <protection locked="0"/>
    </xf>
    <xf numFmtId="0" fontId="0" fillId="7" borderId="4" xfId="0" applyFill="1" applyBorder="1" applyAlignment="1" applyProtection="1">
      <alignment horizontal="center" vertical="center"/>
      <protection locked="0"/>
    </xf>
    <xf numFmtId="0" fontId="0" fillId="6" borderId="4" xfId="0" applyFill="1" applyBorder="1" applyProtection="1">
      <protection locked="0"/>
    </xf>
    <xf numFmtId="0" fontId="0" fillId="4" borderId="0" xfId="0" applyFill="1" applyAlignment="1" applyProtection="1">
      <alignment horizontal="center" vertical="center" wrapText="1"/>
      <protection locked="0"/>
    </xf>
    <xf numFmtId="0" fontId="8" fillId="3" borderId="6" xfId="0" applyFont="1" applyFill="1" applyBorder="1" applyAlignment="1">
      <alignment horizontal="center" vertical="center" wrapText="1"/>
    </xf>
    <xf numFmtId="0" fontId="8" fillId="0" borderId="6" xfId="0" applyFont="1" applyBorder="1" applyAlignment="1">
      <alignment horizontal="center" vertical="center" wrapText="1"/>
    </xf>
    <xf numFmtId="49" fontId="8" fillId="0" borderId="6" xfId="0" applyNumberFormat="1" applyFont="1" applyBorder="1" applyAlignment="1">
      <alignment horizontal="center" vertical="center" wrapText="1"/>
    </xf>
    <xf numFmtId="0" fontId="0" fillId="0" borderId="4" xfId="0" applyBorder="1" applyAlignment="1">
      <alignment horizontal="center"/>
    </xf>
    <xf numFmtId="0" fontId="1" fillId="8" borderId="1" xfId="0" applyFont="1" applyFill="1" applyBorder="1" applyAlignment="1">
      <alignment horizontal="center" vertical="center"/>
    </xf>
    <xf numFmtId="0" fontId="0" fillId="8" borderId="2" xfId="0" applyFill="1" applyBorder="1" applyAlignment="1">
      <alignment vertical="center"/>
    </xf>
    <xf numFmtId="0" fontId="1" fillId="9" borderId="3" xfId="0" applyFont="1" applyFill="1" applyBorder="1" applyAlignment="1">
      <alignment horizontal="center" vertical="center"/>
    </xf>
    <xf numFmtId="0" fontId="0" fillId="9" borderId="4" xfId="0" applyFill="1" applyBorder="1" applyAlignment="1">
      <alignment vertical="center"/>
    </xf>
    <xf numFmtId="0" fontId="0" fillId="0" borderId="4" xfId="0" applyBorder="1" applyAlignment="1" applyProtection="1">
      <alignment wrapText="1"/>
      <protection locked="0"/>
    </xf>
    <xf numFmtId="0" fontId="0" fillId="0" borderId="3" xfId="0" applyBorder="1" applyProtection="1">
      <protection locked="0"/>
    </xf>
    <xf numFmtId="2" fontId="0" fillId="0" borderId="3" xfId="0" applyNumberFormat="1" applyBorder="1" applyAlignment="1" applyProtection="1">
      <alignment horizontal="center"/>
      <protection locked="0"/>
    </xf>
    <xf numFmtId="0" fontId="0" fillId="0" borderId="18" xfId="0" applyBorder="1" applyProtection="1">
      <protection locked="0"/>
    </xf>
    <xf numFmtId="0" fontId="0" fillId="7" borderId="3" xfId="0" applyFill="1" applyBorder="1" applyAlignment="1" applyProtection="1">
      <alignment horizontal="center" vertical="center"/>
      <protection locked="0"/>
    </xf>
    <xf numFmtId="2" fontId="0" fillId="0" borderId="6" xfId="0" applyNumberFormat="1" applyBorder="1" applyProtection="1">
      <protection locked="0"/>
    </xf>
    <xf numFmtId="0" fontId="0" fillId="0" borderId="6" xfId="0" applyBorder="1" applyProtection="1">
      <protection locked="0"/>
    </xf>
    <xf numFmtId="0" fontId="0" fillId="3" borderId="6" xfId="0" applyFill="1" applyBorder="1" applyProtection="1">
      <protection locked="0"/>
    </xf>
    <xf numFmtId="0" fontId="19" fillId="4" borderId="0" xfId="0" applyFont="1" applyFill="1" applyAlignment="1" applyProtection="1">
      <alignment horizontal="center" vertical="center" wrapText="1"/>
      <protection locked="0"/>
    </xf>
    <xf numFmtId="0" fontId="0" fillId="0" borderId="0" xfId="0" applyAlignment="1" applyProtection="1">
      <alignment wrapText="1"/>
      <protection locked="0"/>
    </xf>
    <xf numFmtId="0" fontId="20" fillId="4" borderId="0" xfId="0" applyFont="1" applyFill="1" applyAlignment="1" applyProtection="1">
      <alignment wrapText="1"/>
      <protection locked="0"/>
    </xf>
    <xf numFmtId="0" fontId="0" fillId="0" borderId="18" xfId="0" applyBorder="1" applyAlignment="1" applyProtection="1">
      <alignment wrapText="1"/>
      <protection locked="0"/>
    </xf>
    <xf numFmtId="0" fontId="0" fillId="0" borderId="17" xfId="0" applyBorder="1" applyAlignment="1" applyProtection="1">
      <alignment wrapText="1"/>
      <protection locked="0"/>
    </xf>
    <xf numFmtId="0" fontId="0" fillId="3" borderId="7" xfId="0" applyFill="1" applyBorder="1" applyProtection="1">
      <protection locked="0"/>
    </xf>
    <xf numFmtId="0" fontId="0" fillId="3" borderId="6" xfId="0" applyFill="1" applyBorder="1" applyAlignment="1" applyProtection="1">
      <alignment horizontal="center" vertical="center"/>
      <protection locked="0"/>
    </xf>
    <xf numFmtId="0" fontId="0" fillId="0" borderId="2" xfId="0" applyBorder="1" applyProtection="1">
      <protection locked="0"/>
    </xf>
    <xf numFmtId="165" fontId="0" fillId="3" borderId="4" xfId="0" applyNumberFormat="1" applyFill="1" applyBorder="1" applyAlignment="1" applyProtection="1">
      <alignment horizontal="center"/>
      <protection locked="0"/>
    </xf>
    <xf numFmtId="0" fontId="0" fillId="6" borderId="18" xfId="0" applyFill="1" applyBorder="1" applyProtection="1">
      <protection locked="0"/>
    </xf>
    <xf numFmtId="0" fontId="0" fillId="3" borderId="3" xfId="0" applyFill="1" applyBorder="1" applyProtection="1">
      <protection locked="0"/>
    </xf>
    <xf numFmtId="0" fontId="0" fillId="7" borderId="6" xfId="0" applyFill="1" applyBorder="1" applyAlignment="1" applyProtection="1">
      <alignment horizontal="center" vertical="center"/>
      <protection locked="0"/>
    </xf>
    <xf numFmtId="0" fontId="0" fillId="6" borderId="17" xfId="0" applyFill="1" applyBorder="1" applyProtection="1">
      <protection locked="0"/>
    </xf>
    <xf numFmtId="0" fontId="0" fillId="3" borderId="18" xfId="0" applyFill="1" applyBorder="1" applyProtection="1">
      <protection locked="0"/>
    </xf>
    <xf numFmtId="0" fontId="0" fillId="3" borderId="19" xfId="0" applyNumberFormat="1" applyFill="1" applyBorder="1" applyAlignment="1" applyProtection="1">
      <alignment horizontal="center" vertical="center"/>
      <protection locked="0"/>
    </xf>
    <xf numFmtId="0" fontId="0" fillId="0" borderId="3" xfId="0" applyNumberFormat="1" applyFill="1" applyBorder="1" applyProtection="1">
      <protection locked="0"/>
    </xf>
    <xf numFmtId="0" fontId="0" fillId="0" borderId="3" xfId="0" applyFill="1" applyBorder="1" applyAlignment="1" applyProtection="1">
      <alignment wrapText="1"/>
      <protection locked="0"/>
    </xf>
    <xf numFmtId="165" fontId="0" fillId="3" borderId="3" xfId="0" applyNumberFormat="1" applyFill="1" applyBorder="1" applyAlignment="1" applyProtection="1">
      <alignment horizontal="center"/>
      <protection locked="0"/>
    </xf>
    <xf numFmtId="2" fontId="0" fillId="0" borderId="3" xfId="0" applyNumberFormat="1" applyFill="1" applyBorder="1" applyAlignment="1" applyProtection="1">
      <alignment horizontal="center"/>
      <protection locked="0"/>
    </xf>
    <xf numFmtId="0" fontId="0" fillId="0" borderId="18" xfId="0" applyFill="1" applyBorder="1" applyProtection="1">
      <protection locked="0"/>
    </xf>
    <xf numFmtId="0" fontId="0" fillId="3" borderId="4" xfId="0" applyNumberFormat="1" applyFill="1" applyBorder="1" applyProtection="1">
      <protection locked="0"/>
    </xf>
    <xf numFmtId="0" fontId="0" fillId="7" borderId="3" xfId="0" applyNumberFormat="1" applyFill="1" applyBorder="1" applyAlignment="1" applyProtection="1">
      <alignment horizontal="center" vertical="center"/>
      <protection locked="0"/>
    </xf>
    <xf numFmtId="0" fontId="0" fillId="6" borderId="4" xfId="0" applyNumberFormat="1" applyFill="1" applyBorder="1" applyProtection="1">
      <protection locked="0"/>
    </xf>
    <xf numFmtId="0" fontId="0" fillId="3" borderId="17" xfId="0" applyFill="1" applyBorder="1" applyProtection="1">
      <protection locked="0"/>
    </xf>
    <xf numFmtId="0" fontId="0" fillId="3" borderId="20" xfId="0" applyNumberFormat="1" applyFill="1" applyBorder="1" applyAlignment="1" applyProtection="1">
      <alignment horizontal="center" vertical="center"/>
      <protection locked="0"/>
    </xf>
    <xf numFmtId="0" fontId="0" fillId="0" borderId="7" xfId="0" applyNumberFormat="1" applyFill="1" applyBorder="1" applyProtection="1">
      <protection locked="0"/>
    </xf>
    <xf numFmtId="0" fontId="0" fillId="0" borderId="7" xfId="0" applyFill="1" applyBorder="1" applyAlignment="1" applyProtection="1">
      <alignment wrapText="1"/>
      <protection locked="0"/>
    </xf>
    <xf numFmtId="165" fontId="0" fillId="3" borderId="7" xfId="0" applyNumberFormat="1" applyFill="1" applyBorder="1" applyAlignment="1" applyProtection="1">
      <alignment horizontal="center"/>
      <protection locked="0"/>
    </xf>
    <xf numFmtId="2" fontId="0" fillId="0" borderId="7" xfId="0" applyNumberFormat="1" applyFill="1" applyBorder="1" applyAlignment="1" applyProtection="1">
      <alignment horizontal="center"/>
      <protection locked="0"/>
    </xf>
    <xf numFmtId="0" fontId="0" fillId="0" borderId="17" xfId="0" applyFill="1" applyBorder="1" applyProtection="1">
      <protection locked="0"/>
    </xf>
    <xf numFmtId="0" fontId="0" fillId="3" borderId="6" xfId="0" applyNumberFormat="1" applyFill="1" applyBorder="1" applyProtection="1">
      <protection locked="0"/>
    </xf>
    <xf numFmtId="0" fontId="0" fillId="7" borderId="7" xfId="0" applyNumberFormat="1" applyFill="1" applyBorder="1" applyAlignment="1" applyProtection="1">
      <alignment horizontal="center" vertical="center"/>
      <protection locked="0"/>
    </xf>
    <xf numFmtId="0" fontId="0" fillId="6" borderId="6" xfId="0" applyNumberFormat="1" applyFill="1" applyBorder="1" applyProtection="1">
      <protection locked="0"/>
    </xf>
    <xf numFmtId="0" fontId="0" fillId="3" borderId="18" xfId="0" applyNumberFormat="1" applyFill="1" applyBorder="1" applyProtection="1">
      <protection locked="0"/>
    </xf>
    <xf numFmtId="0" fontId="0" fillId="3" borderId="17" xfId="0" applyNumberFormat="1" applyFill="1" applyBorder="1" applyProtection="1">
      <protection locked="0"/>
    </xf>
    <xf numFmtId="14" fontId="14" fillId="3" borderId="4" xfId="0" applyNumberFormat="1" applyFont="1" applyFill="1" applyBorder="1" applyAlignment="1">
      <alignment horizontal="center"/>
    </xf>
    <xf numFmtId="165" fontId="14" fillId="3" borderId="3" xfId="0" applyNumberFormat="1" applyFont="1" applyFill="1" applyBorder="1" applyAlignment="1" applyProtection="1">
      <alignment horizontal="center"/>
      <protection locked="0"/>
    </xf>
    <xf numFmtId="165" fontId="14" fillId="3" borderId="7" xfId="0" applyNumberFormat="1" applyFont="1" applyFill="1" applyBorder="1" applyAlignment="1" applyProtection="1">
      <alignment horizontal="center"/>
      <protection locked="0"/>
    </xf>
    <xf numFmtId="0" fontId="0" fillId="0" borderId="17" xfId="0" applyFill="1" applyBorder="1" applyAlignment="1" applyProtection="1">
      <alignment wrapText="1"/>
      <protection locked="0"/>
    </xf>
    <xf numFmtId="0" fontId="0" fillId="10" borderId="4" xfId="0" applyFill="1" applyBorder="1" applyProtection="1">
      <protection locked="0"/>
    </xf>
    <xf numFmtId="2" fontId="0" fillId="10" borderId="4" xfId="0" applyNumberFormat="1" applyFill="1" applyBorder="1" applyProtection="1">
      <protection locked="0"/>
    </xf>
    <xf numFmtId="0" fontId="0" fillId="10" borderId="18" xfId="0" applyFill="1" applyBorder="1" applyAlignment="1" applyProtection="1">
      <alignment wrapText="1"/>
      <protection locked="0"/>
    </xf>
    <xf numFmtId="0" fontId="0" fillId="10" borderId="6" xfId="0" applyFill="1" applyBorder="1" applyProtection="1">
      <protection locked="0"/>
    </xf>
    <xf numFmtId="2" fontId="0" fillId="10" borderId="6" xfId="0" applyNumberFormat="1" applyFill="1" applyBorder="1" applyProtection="1">
      <protection locked="0"/>
    </xf>
    <xf numFmtId="0" fontId="0" fillId="10" borderId="17" xfId="0" applyFill="1" applyBorder="1" applyAlignment="1" applyProtection="1">
      <alignment wrapText="1"/>
      <protection locked="0"/>
    </xf>
    <xf numFmtId="0" fontId="0" fillId="0" borderId="3" xfId="0" applyNumberFormat="1" applyFill="1" applyBorder="1" applyAlignment="1" applyProtection="1">
      <alignment wrapText="1"/>
      <protection locked="0"/>
    </xf>
    <xf numFmtId="2" fontId="0" fillId="0" borderId="4" xfId="0" applyNumberFormat="1" applyBorder="1" applyAlignment="1" applyProtection="1">
      <alignment wrapText="1"/>
      <protection locked="0"/>
    </xf>
    <xf numFmtId="0" fontId="0" fillId="0" borderId="3" xfId="0" applyNumberFormat="1" applyFill="1" applyBorder="1" applyAlignment="1" applyProtection="1">
      <alignment horizontal="center" vertical="center"/>
      <protection locked="0"/>
    </xf>
    <xf numFmtId="0" fontId="0" fillId="3" borderId="18" xfId="0" applyNumberFormat="1" applyFill="1" applyBorder="1" applyAlignment="1" applyProtection="1">
      <alignment wrapText="1"/>
      <protection locked="0"/>
    </xf>
    <xf numFmtId="2" fontId="0" fillId="0" borderId="18" xfId="0" applyNumberFormat="1" applyFill="1" applyBorder="1" applyAlignment="1" applyProtection="1">
      <alignment horizontal="center"/>
      <protection locked="0"/>
    </xf>
    <xf numFmtId="0" fontId="0" fillId="0" borderId="7" xfId="0" applyNumberFormat="1" applyFill="1" applyBorder="1" applyAlignment="1" applyProtection="1">
      <alignment horizontal="center" vertical="center"/>
      <protection locked="0"/>
    </xf>
    <xf numFmtId="2" fontId="0" fillId="0" borderId="6" xfId="0" applyNumberFormat="1" applyBorder="1" applyAlignment="1" applyProtection="1">
      <alignment wrapText="1"/>
      <protection locked="0"/>
    </xf>
    <xf numFmtId="0" fontId="0" fillId="3" borderId="17" xfId="0" applyNumberFormat="1" applyFill="1" applyBorder="1" applyAlignment="1" applyProtection="1">
      <alignment wrapText="1"/>
      <protection locked="0"/>
    </xf>
    <xf numFmtId="2" fontId="0" fillId="0" borderId="17" xfId="0" applyNumberFormat="1" applyFill="1" applyBorder="1" applyAlignment="1" applyProtection="1">
      <alignment horizontal="center"/>
      <protection locked="0"/>
    </xf>
    <xf numFmtId="0" fontId="5" fillId="0" borderId="18" xfId="0" applyFont="1" applyFill="1" applyBorder="1" applyAlignment="1" applyProtection="1">
      <alignment horizontal="center" vertical="center" wrapText="1"/>
      <protection locked="0"/>
    </xf>
    <xf numFmtId="0" fontId="0" fillId="10" borderId="4" xfId="0" applyFill="1" applyBorder="1" applyAlignment="1" applyProtection="1">
      <alignment wrapText="1"/>
      <protection locked="0"/>
    </xf>
    <xf numFmtId="0" fontId="26" fillId="3" borderId="4" xfId="0" applyFont="1" applyFill="1" applyBorder="1" applyProtection="1">
      <protection locked="0"/>
    </xf>
    <xf numFmtId="0" fontId="0" fillId="3" borderId="4" xfId="0" applyFill="1" applyBorder="1"/>
    <xf numFmtId="0" fontId="5" fillId="0" borderId="4" xfId="0" applyFont="1" applyBorder="1" applyAlignment="1" applyProtection="1">
      <alignment horizontal="center" vertical="center" wrapText="1"/>
      <protection locked="0"/>
    </xf>
    <xf numFmtId="0" fontId="26" fillId="3" borderId="18" xfId="0" applyFont="1" applyFill="1" applyBorder="1" applyProtection="1">
      <protection locked="0"/>
    </xf>
    <xf numFmtId="0" fontId="26" fillId="3" borderId="4" xfId="0" applyFont="1" applyFill="1" applyBorder="1"/>
    <xf numFmtId="0" fontId="0" fillId="3" borderId="4" xfId="0" applyFill="1" applyBorder="1" applyAlignment="1">
      <alignment horizontal="center" vertical="center"/>
    </xf>
    <xf numFmtId="0" fontId="0" fillId="10" borderId="3" xfId="0" applyFill="1" applyBorder="1"/>
    <xf numFmtId="0" fontId="0" fillId="10" borderId="3" xfId="0" applyFill="1" applyBorder="1" applyAlignment="1">
      <alignment wrapText="1"/>
    </xf>
    <xf numFmtId="2" fontId="0" fillId="10" borderId="4" xfId="0" applyNumberFormat="1" applyFill="1" applyBorder="1" applyAlignment="1">
      <alignment wrapText="1"/>
    </xf>
    <xf numFmtId="2" fontId="0" fillId="10" borderId="4" xfId="0" applyNumberFormat="1" applyFill="1" applyBorder="1"/>
    <xf numFmtId="0" fontId="0" fillId="10" borderId="18" xfId="0" applyFill="1" applyBorder="1" applyAlignment="1">
      <alignment wrapText="1"/>
    </xf>
    <xf numFmtId="2" fontId="0" fillId="10" borderId="4" xfId="0" applyNumberFormat="1" applyFill="1" applyBorder="1" applyAlignment="1">
      <alignment horizontal="center"/>
    </xf>
    <xf numFmtId="0" fontId="5" fillId="10" borderId="4" xfId="0" applyFont="1" applyFill="1" applyBorder="1" applyAlignment="1">
      <alignment horizontal="center" vertical="center" wrapText="1"/>
    </xf>
    <xf numFmtId="0" fontId="0" fillId="7" borderId="4" xfId="0" applyFill="1" applyBorder="1" applyAlignment="1">
      <alignment horizontal="center" vertical="center"/>
    </xf>
    <xf numFmtId="0" fontId="0" fillId="6" borderId="4" xfId="0" applyFill="1" applyBorder="1"/>
    <xf numFmtId="0" fontId="0" fillId="10" borderId="4" xfId="0" applyFill="1" applyBorder="1"/>
    <xf numFmtId="0" fontId="0" fillId="10" borderId="4" xfId="0" applyFill="1" applyBorder="1" applyAlignment="1">
      <alignment wrapText="1"/>
    </xf>
    <xf numFmtId="0" fontId="0" fillId="0" borderId="4" xfId="0" applyBorder="1" applyAlignment="1">
      <alignment horizontal="left" wrapText="1"/>
    </xf>
    <xf numFmtId="0" fontId="1" fillId="0" borderId="4" xfId="0" applyFont="1" applyBorder="1" applyAlignment="1">
      <alignment horizontal="left" wrapText="1"/>
    </xf>
    <xf numFmtId="0" fontId="2" fillId="0" borderId="0" xfId="0" applyFont="1" applyAlignment="1">
      <alignment horizontal="center"/>
    </xf>
    <xf numFmtId="0" fontId="5" fillId="4" borderId="8" xfId="0" applyFont="1" applyFill="1" applyBorder="1" applyAlignment="1">
      <alignment horizontal="center" vertical="center" wrapText="1"/>
    </xf>
    <xf numFmtId="0" fontId="5" fillId="4" borderId="14" xfId="0" applyFont="1" applyFill="1" applyBorder="1" applyAlignment="1">
      <alignment horizontal="center" vertical="center" wrapText="1"/>
    </xf>
    <xf numFmtId="0" fontId="5" fillId="4" borderId="15" xfId="0" applyFont="1" applyFill="1" applyBorder="1" applyAlignment="1">
      <alignment horizontal="center" vertical="center" wrapText="1"/>
    </xf>
    <xf numFmtId="0" fontId="5" fillId="4" borderId="16" xfId="0" applyFont="1" applyFill="1" applyBorder="1" applyAlignment="1">
      <alignment horizontal="center" vertical="center" wrapText="1"/>
    </xf>
  </cellXfs>
  <cellStyles count="2">
    <cellStyle name="Normal" xfId="0" builtinId="0"/>
    <cellStyle name="Percent" xfId="1" builtinId="5"/>
  </cellStyles>
  <dxfs count="50">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Calibri"/>
        <family val="2"/>
        <scheme val="minor"/>
      </font>
      <numFmt numFmtId="19" formatCode="m/d/yy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Calibri"/>
        <family val="2"/>
        <scheme val="minor"/>
      </font>
      <fill>
        <patternFill patternType="solid">
          <fgColor indexed="64"/>
          <bgColor theme="9" tint="0.5999938962981048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Tunga"/>
        <family val="2"/>
        <scheme val="minor"/>
      </font>
      <fill>
        <patternFill patternType="solid">
          <fgColor indexed="64"/>
          <bgColor theme="9" tint="0.5999938962981048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Calibri"/>
        <family val="2"/>
        <scheme val="minor"/>
      </font>
      <numFmt numFmtId="0" formatCode="General"/>
      <fill>
        <patternFill patternType="solid">
          <fgColor indexed="64"/>
          <bgColor theme="9" tint="0.5999938962981048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theme="0" tint="-0.14999847407452621"/>
        </right>
        <top style="thin">
          <color indexed="64"/>
        </top>
        <bottom style="thin">
          <color theme="0" tint="-0.14999847407452621"/>
        </bottom>
      </border>
    </dxf>
    <dxf>
      <font>
        <strike val="0"/>
        <outline val="0"/>
        <shadow val="0"/>
        <u val="none"/>
        <vertAlign val="baseline"/>
        <color auto="1"/>
        <name val="Calibri"/>
        <family val="2"/>
        <scheme val="minor"/>
      </font>
      <fill>
        <patternFill patternType="none">
          <fgColor indexed="64"/>
          <bgColor auto="1"/>
        </patternFill>
      </fill>
    </dxf>
    <dxf>
      <border outline="0">
        <bottom style="thin">
          <color theme="0" tint="-0.14999847407452621"/>
        </bottom>
      </border>
    </dxf>
    <dxf>
      <font>
        <b/>
        <i val="0"/>
        <strike val="0"/>
        <condense val="0"/>
        <extend val="0"/>
        <outline val="0"/>
        <shadow val="0"/>
        <u val="none"/>
        <vertAlign val="baseline"/>
        <sz val="10"/>
        <color theme="0"/>
        <name val="Calibri"/>
        <family val="2"/>
        <scheme val="minor"/>
      </font>
      <fill>
        <patternFill patternType="solid">
          <fgColor indexed="64"/>
          <bgColor rgb="FF3F5A68"/>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bottom/>
      </border>
    </dxf>
    <dxf>
      <font>
        <color rgb="FF9C0006"/>
      </font>
      <fill>
        <patternFill>
          <bgColor rgb="FFFFC7CE"/>
        </patternFill>
      </fill>
    </dxf>
    <dxf>
      <numFmt numFmtId="0" formatCode="General"/>
      <fill>
        <patternFill patternType="solid">
          <fgColor indexed="64"/>
          <bgColor theme="7"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solid">
          <fgColor indexed="64"/>
          <bgColor theme="7" tint="0.79995117038483843"/>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numFmt numFmtId="0" formatCode="General"/>
      <fill>
        <patternFill patternType="solid">
          <fgColor indexed="64"/>
          <bgColor theme="9" tint="0.59999389629810485"/>
        </patternFill>
      </fill>
      <border diagonalUp="0" diagonalDown="0" outline="0">
        <left style="thin">
          <color indexed="64"/>
        </left>
        <right style="thin">
          <color indexed="64"/>
        </right>
        <top style="thin">
          <color indexed="64"/>
        </top>
        <bottom style="thin">
          <color indexed="64"/>
        </bottom>
      </border>
      <protection locked="0" hidden="0"/>
    </dxf>
    <dxf>
      <fill>
        <patternFill patternType="none">
          <fgColor indexed="64"/>
          <bgColor auto="1"/>
        </patternFill>
      </fill>
      <border diagonalUp="0" diagonalDown="0" outline="0">
        <left style="thin">
          <color indexed="64"/>
        </left>
        <right/>
        <top style="thin">
          <color indexed="64"/>
        </top>
        <bottom style="thin">
          <color indexed="64"/>
        </bottom>
      </border>
      <protection locked="0" hidden="0"/>
    </dxf>
    <dxf>
      <numFmt numFmtId="2" formatCode="0.00"/>
      <fill>
        <patternFill patternType="none">
          <fgColor indexed="64"/>
          <bgColor auto="1"/>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protection locked="0" hidden="0"/>
    </dxf>
    <dxf>
      <numFmt numFmtId="165" formatCode="dd/mm/yyyy"/>
      <fill>
        <patternFill patternType="solid">
          <fgColor indexed="64"/>
          <bgColor theme="9" tint="0.59999389629810485"/>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protection locked="0" hidden="0"/>
    </dxf>
    <dxf>
      <numFmt numFmtId="0" formatCode="General"/>
      <fill>
        <patternFill patternType="solid">
          <fgColor indexed="64"/>
          <bgColor theme="9" tint="0.59999389629810485"/>
        </patternFill>
      </fill>
      <border diagonalUp="0" diagonalDown="0" outline="0">
        <left style="thin">
          <color indexed="64"/>
        </left>
        <right/>
        <top style="thin">
          <color indexed="64"/>
        </top>
        <bottom style="thin">
          <color indexed="64"/>
        </bottom>
      </border>
      <protection locked="0" hidden="0"/>
    </dxf>
    <dxf>
      <alignment textRotation="0" wrapText="1" justifyLastLine="0" shrinkToFit="0" readingOrder="0"/>
      <border diagonalUp="0" diagonalDown="0" outline="0">
        <left style="thin">
          <color indexed="64"/>
        </left>
        <right/>
        <top style="thin">
          <color indexed="64"/>
        </top>
        <bottom style="thin">
          <color indexed="64"/>
        </bottom>
      </border>
      <protection locked="0"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2" formatCode="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indexed="65"/>
        </patternFill>
      </fill>
      <alignment textRotation="0" wrapText="1" justifyLastLine="0" shrinkToFit="0" readingOrder="0"/>
      <border diagonalUp="0" diagonalDown="0" outline="0">
        <left/>
        <right style="thin">
          <color indexed="64"/>
        </right>
        <top style="thin">
          <color indexed="64"/>
        </top>
        <bottom style="thin">
          <color indexed="64"/>
        </bottom>
      </border>
      <protection locked="0" hidden="0"/>
    </dxf>
    <dxf>
      <numFmt numFmtId="0" formatCode="General"/>
      <fill>
        <patternFill patternType="none">
          <fgColor indexed="64"/>
          <bgColor indexed="65"/>
        </patternFill>
      </fill>
      <border diagonalUp="0" diagonalDown="0" outline="0">
        <left/>
        <right style="thin">
          <color indexed="64"/>
        </right>
        <top style="thin">
          <color indexed="64"/>
        </top>
        <bottom style="thin">
          <color indexed="64"/>
        </bottom>
      </border>
      <protection locked="0" hidden="0"/>
    </dxf>
    <dxf>
      <numFmt numFmtId="0" formatCode="General"/>
      <fill>
        <patternFill patternType="solid">
          <fgColor indexed="64"/>
          <bgColor theme="9" tint="0.59999389629810485"/>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numFmt numFmtId="0" formatCode="General"/>
      <fill>
        <patternFill patternType="solid">
          <fgColor indexed="64"/>
          <bgColor theme="9" tint="0.59999389629810485"/>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ill>
        <patternFill patternType="solid">
          <fgColor indexed="64"/>
          <bgColor theme="9" tint="0.59999389629810485"/>
        </patternFill>
      </fill>
      <border diagonalUp="0" diagonalDown="0" outline="0">
        <left style="thin">
          <color indexed="64"/>
        </left>
        <right/>
        <top style="thin">
          <color indexed="64"/>
        </top>
        <bottom style="thin">
          <color indexed="64"/>
        </bottom>
      </border>
      <protection locked="0" hidden="0"/>
    </dxf>
    <dxf>
      <border>
        <top style="thin">
          <color theme="0" tint="-0.14999847407452621"/>
        </top>
      </border>
    </dxf>
    <dxf>
      <border diagonalUp="0" diagonalDown="0">
        <left style="thin">
          <color theme="0" tint="-0.14999847407452621"/>
        </left>
        <right style="thin">
          <color theme="0" tint="-0.14999847407452621"/>
        </right>
        <top style="thin">
          <color theme="0" tint="-0.14999847407452621"/>
        </top>
        <bottom style="thin">
          <color theme="0" tint="-0.14999847407452621"/>
        </bottom>
      </border>
    </dxf>
    <dxf>
      <protection locked="0" hidden="0"/>
    </dxf>
    <dxf>
      <border>
        <bottom style="thin">
          <color theme="0" tint="-0.14999847407452621"/>
        </bottom>
      </border>
    </dxf>
    <dxf>
      <font>
        <b/>
        <i val="0"/>
        <strike val="0"/>
        <condense val="0"/>
        <extend val="0"/>
        <outline val="0"/>
        <shadow val="0"/>
        <u val="none"/>
        <vertAlign val="baseline"/>
        <sz val="12"/>
        <color theme="0"/>
        <name val="Tunga"/>
        <family val="2"/>
        <scheme val="minor"/>
      </font>
      <fill>
        <patternFill patternType="solid">
          <fgColor indexed="64"/>
          <bgColor rgb="FF3F5A68"/>
        </patternFill>
      </fill>
      <alignment horizontal="center" vertical="center" textRotation="0" wrapText="1" indent="0" justifyLastLine="0" shrinkToFit="0" readingOrder="0"/>
      <border diagonalUp="0" diagonalDown="0">
        <left style="thin">
          <color theme="0" tint="-0.14999847407452621"/>
        </left>
        <right style="thin">
          <color theme="0" tint="-0.14999847407452621"/>
        </right>
        <top/>
        <bottom/>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5" tint="-0.249977111117893"/>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5" tint="-0.249977111117893"/>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5" tint="-0.249977111117893"/>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5" tint="-0.249977111117893"/>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5" tint="-0.249977111117893"/>
        </patternFill>
      </fill>
      <alignment horizontal="general" vertical="center" textRotation="0" wrapText="0" indent="0" justifyLastLine="0" shrinkToFit="0" readingOrder="0"/>
    </dxf>
    <dxf>
      <border>
        <bottom style="thin">
          <color theme="0" tint="-0.14999847407452621"/>
        </bottom>
      </border>
    </dxf>
    <dxf>
      <font>
        <b/>
        <i val="0"/>
        <strike val="0"/>
        <condense val="0"/>
        <extend val="0"/>
        <outline val="0"/>
        <shadow val="0"/>
        <u val="none"/>
        <vertAlign val="baseline"/>
        <sz val="12"/>
        <color theme="0"/>
        <name val="Calibri"/>
        <family val="2"/>
        <scheme val="minor"/>
      </font>
      <fill>
        <patternFill patternType="solid">
          <fgColor indexed="64"/>
          <bgColor rgb="FF3F5A68"/>
        </patternFill>
      </fill>
      <alignment horizontal="center" vertical="center" textRotation="0" wrapText="1" indent="0" justifyLastLine="0" shrinkToFit="0" readingOrder="0"/>
      <border diagonalUp="0" diagonalDown="0">
        <left style="thin">
          <color theme="0" tint="-0.14999847407452621"/>
        </left>
        <right style="thin">
          <color theme="0" tint="-0.14999847407452621"/>
        </right>
        <top/>
        <bottom/>
        <vertical style="thin">
          <color theme="0" tint="-0.14999847407452621"/>
        </vertical>
        <horizontal style="thin">
          <color theme="0" tint="-0.14999847407452621"/>
        </horizontal>
      </border>
    </dxf>
    <dxf>
      <fill>
        <patternFill>
          <bgColor rgb="FFC4DAE6"/>
        </patternFill>
      </fill>
    </dxf>
  </dxfs>
  <tableStyles count="2" defaultTableStyle="Table Style 1" defaultPivotStyle="PivotStyleLight16">
    <tableStyle name="Invisible" pivot="0" table="0" count="0" xr9:uid="{771364D6-DA38-43D0-9396-13872BB3516B}"/>
    <tableStyle name="Table Style 1" pivot="0" count="1" xr9:uid="{044BCFA2-AD2E-468F-B8E5-EF7508CBD502}">
      <tableStyleElement type="firstRowStripe" dxfId="49"/>
    </tableStyle>
  </tableStyles>
  <colors>
    <mruColors>
      <color rgb="FFFFFF99"/>
      <color rgb="FF00FF00"/>
      <color rgb="FFFFFF15"/>
      <color rgb="FF3F5A68"/>
      <color rgb="FFC4DAE6"/>
      <color rgb="FF8BB7CF"/>
      <color rgb="FFA0C4D8"/>
      <color rgb="FF68A1C1"/>
      <color rgb="FF1D1D1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69850</xdr:colOff>
          <xdr:row>0</xdr:row>
          <xdr:rowOff>31750</xdr:rowOff>
        </xdr:from>
        <xdr:to>
          <xdr:col>1</xdr:col>
          <xdr:colOff>755650</xdr:colOff>
          <xdr:row>0</xdr:row>
          <xdr:rowOff>450850</xdr:rowOff>
        </xdr:to>
        <xdr:sp macro="" textlink="">
          <xdr:nvSpPr>
            <xdr:cNvPr id="6171" name="Button 27" hidden="1">
              <a:extLst>
                <a:ext uri="{63B3BB69-23CF-44E3-9099-C40C66FF867C}">
                  <a14:compatExt spid="_x0000_s6171"/>
                </a:ext>
                <a:ext uri="{FF2B5EF4-FFF2-40B4-BE49-F238E27FC236}">
                  <a16:creationId xmlns:a16="http://schemas.microsoft.com/office/drawing/2014/main" id="{00000000-0008-0000-0100-00001B1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1" i="0" u="none" strike="noStrike" baseline="0">
                  <a:solidFill>
                    <a:srgbClr val="000000"/>
                  </a:solidFill>
                  <a:latin typeface="Calibri"/>
                  <a:cs typeface="Calibri"/>
                </a:rPr>
                <a:t>Send Report</a:t>
              </a:r>
            </a:p>
          </xdr:txBody>
        </xdr:sp>
        <xdr:clientData fLocksWithSheet="0"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dnavar, Sanjeev" id="{07362D3D-1C99-453F-B094-A8D587BEA562}" userId="S::Sanjeev.Gidnavar@coperion.com::e57ea720-ba73-49eb-8661-4ddbf14465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B9457D6-A57F-495F-BCCF-CACCAF8929F3}" name="Table5" displayName="Table5" ref="B3:E15" totalsRowShown="0" headerRowDxfId="48" dataDxfId="46" headerRowBorderDxfId="47" tableBorderDxfId="45">
  <tableColumns count="4">
    <tableColumn id="1" xr3:uid="{5B792A82-ED86-412E-B7C9-9ED30F141603}" name="Project Code" dataDxfId="44"/>
    <tableColumn id="2" xr3:uid="{CA99443B-1401-4868-B1B8-135B6B09AC08}" name="Type of Projects" dataDxfId="43"/>
    <tableColumn id="3" xr3:uid="{699AE3E1-1B9D-421F-9740-546C4A2117E8}" name="Type of Activity" dataDxfId="42"/>
    <tableColumn id="4" xr3:uid="{94CCA41B-B1F6-4BED-A652-3F387A00F846}" name="Remarks" dataDxfId="41"/>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86A163-050D-42C9-B7E8-2A70819C6BDE}" name="WTS" displayName="WTS" ref="A2:O200" totalsRowShown="0" headerRowDxfId="40" dataDxfId="38" headerRowBorderDxfId="39" tableBorderDxfId="37" totalsRowBorderDxfId="36">
  <tableColumns count="15">
    <tableColumn id="1" xr3:uid="{241096DE-5F0C-4013-A7FF-8B7229F9DBA0}" name="Location" dataDxfId="35"/>
    <tableColumn id="2" xr3:uid="{3D526C76-AAC3-45E1-8FAA-9B38CE87A9F9}" name="Project Code" dataDxfId="34"/>
    <tableColumn id="3" xr3:uid="{17C85378-C87E-4EA3-8182-CA9DEEC40230}" name="ID" dataDxfId="33"/>
    <tableColumn id="4" xr3:uid="{74DABD43-12EC-4D8B-810F-55CD07C5414A}" name="Project" dataDxfId="32"/>
    <tableColumn id="5" xr3:uid="{3D71B3C1-B81B-4040-9410-44F56F5A0E95}" name="Document ID" dataDxfId="31"/>
    <tableColumn id="6" xr3:uid="{178B81B4-8071-4698-9AA5-36274A80D3FC}" name="Version #" dataDxfId="30"/>
    <tableColumn id="7" xr3:uid="{F99EC979-B8E2-4DA1-A5C3-DA7BA0854925}" name="Types / Documents" dataDxfId="29"/>
    <tableColumn id="8" xr3:uid="{A1E787BD-E210-4B93-A034-1E3B371E79F6}" name="Description" dataDxfId="28"/>
    <tableColumn id="9" xr3:uid="{082212F7-980D-46FA-843E-0A309D9A6E7B}" name="Assigned To" dataDxfId="27"/>
    <tableColumn id="10" xr3:uid="{35202E82-5D7D-4E51-A0AD-3BED7D7C61E3}" name="Start Date" dataDxfId="26"/>
    <tableColumn id="12" xr3:uid="{0BB49953-E800-4FC4-818C-FBFBD590E761}" name="Actual Hours" dataDxfId="25"/>
    <tableColumn id="15" xr3:uid="{F03AC4BE-F6C0-4B5F-857C-2C8286654105}" name="Remarks" dataDxfId="24"/>
    <tableColumn id="16" xr3:uid="{289F5432-6986-4BEE-A575-BCDCE16E3420}" name="Task From Team" dataDxfId="23"/>
    <tableColumn id="17" xr3:uid="{34B70782-7A71-4AAF-8537-A2C865EB99D0}" name="WK#" dataDxfId="22">
      <calculatedColumnFormula>IF(J3&gt;0,WEEKNUM(J3,1),"")</calculatedColumnFormula>
    </tableColumn>
    <tableColumn id="18" xr3:uid="{43901948-30F5-4652-BB72-F6207ED98825}" name="Month" dataDxfId="21">
      <calculatedColumnFormula>IF(J3&gt;0,TEXT(J3,"Mmm-yy"),"")</calculatedColumnFormula>
    </tableColumn>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866540-364F-4933-8E0B-03B57A557DCA}" name="FIRSTPASS" displayName="FIRSTPASS" ref="A1:O10" totalsRowShown="0" headerRowDxfId="19" dataDxfId="17" headerRowBorderDxfId="18" tableBorderDxfId="16" totalsRowBorderDxfId="15">
  <autoFilter ref="A1:O10" xr:uid="{33866540-364F-4933-8E0B-03B57A557DCA}"/>
  <tableColumns count="15">
    <tableColumn id="1" xr3:uid="{102759F4-519C-485B-85B3-589D35F894AE}" name="S.No" dataDxfId="14"/>
    <tableColumn id="15" xr3:uid="{D94F4D89-1AE7-4548-99B7-C037E0BFDDC9}" name="Location" dataDxfId="13"/>
    <tableColumn id="2" xr3:uid="{50417F89-BBD0-4A9E-BC14-3EF578129ED7}" name="Task ID " dataDxfId="12"/>
    <tableColumn id="3" xr3:uid="{91657B38-69E3-4DA5-8C3B-50BD88A9F4F3}" name="Project Number " dataDxfId="11"/>
    <tableColumn id="4" xr3:uid="{0C4AD27A-3EA9-42AE-AF4A-880FB69DB555}" name="Department (CPN)" dataDxfId="10"/>
    <tableColumn id="5" xr3:uid="{D2B35EC4-F39B-4362-AF78-93EA7AC20E00}" name="First Pass (Yes / No)" dataDxfId="9"/>
    <tableColumn id="6" xr3:uid="{B7EA85A6-8A2B-4431-B5C1-B2313198016A}" name="Date (DD-MM-YY)" dataDxfId="8"/>
    <tableColumn id="9" xr3:uid="{2B427547-3390-4C2F-99AE-E9AA9239D992}" name="Missing / wrong Inputs" dataDxfId="7"/>
    <tableColumn id="10" xr3:uid="{8161867E-50DB-47B5-9613-CFC40AFCC9C1}" name="Execution Mistake" dataDxfId="6"/>
    <tableColumn id="11" xr3:uid="{4A5746D6-68EB-4250-9B93-C27ED7B4C940}" name="Corrective Actions" dataDxfId="5"/>
    <tableColumn id="12" xr3:uid="{EA018198-BE0A-41F5-9CAA-8FAC5C00AE48}" name="Remarks " dataDxfId="4"/>
    <tableColumn id="14" xr3:uid="{BBDE78AC-F60A-4DFD-958F-B1FA6F090BE4}" name="EST. Hrs." dataDxfId="3"/>
    <tableColumn id="13" xr3:uid="{C50BFC5E-D56E-42ED-A07C-07967DD84EE0}" name="Act. Hrs." dataDxfId="2"/>
    <tableColumn id="7" xr3:uid="{1365B55E-6DA2-49CB-A637-C4EB92B86582}" name="Week#" dataDxfId="1">
      <calculatedColumnFormula>IF(G2&gt;0,WEEKNUM(G2,1),"")</calculatedColumnFormula>
    </tableColumn>
    <tableColumn id="8" xr3:uid="{942C821F-D3BF-4C9C-B297-891999DB8C8C}" name="Month_x000a_(Mon - YY)" dataDxfId="0">
      <calculatedColumnFormula>IF(G2&gt;0,TEXT(G2,"Mmm-yy"),"")</calculatedColumnFormula>
    </tableColumn>
  </tableColumns>
  <tableStyleInfo name="Table Style 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3" dT="2022-12-10T12:48:17.18" personId="{07362D3D-1C99-453F-B094-A8D587BEA562}" id="{542D98A1-661D-409D-B11F-0974397B2F2F}">
    <text>Whole task to be considered as for quality pass.
Any comments are raised by external team will be considered as failure in quality</text>
  </threadedComment>
  <threadedComment ref="A3" dT="2023-10-17T12:32:56.86" personId="{07362D3D-1C99-453F-B094-A8D587BEA562}" id="{ED985128-8A1D-4744-BA68-738B18D4C4BE}" parentId="{542D98A1-661D-409D-B11F-0974397B2F2F}">
    <text>First-pass: If input or out put is error in task considered Frist-pass fail</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0065C-999B-459E-9037-737B8723AAC7}">
  <sheetPr codeName="Sheet1"/>
  <dimension ref="A1:P58"/>
  <sheetViews>
    <sheetView showGridLines="0" zoomScale="85" zoomScaleNormal="85" workbookViewId="0">
      <selection activeCell="B1" sqref="B1:E1"/>
    </sheetView>
  </sheetViews>
  <sheetFormatPr defaultRowHeight="14.5" x14ac:dyDescent="0.35"/>
  <cols>
    <col min="1" max="1" width="17.1796875" customWidth="1"/>
    <col min="2" max="2" width="16.7265625" customWidth="1"/>
    <col min="3" max="3" width="50.7265625" bestFit="1" customWidth="1"/>
    <col min="4" max="4" width="34.26953125" customWidth="1"/>
    <col min="5" max="5" width="75.26953125" bestFit="1" customWidth="1"/>
    <col min="7" max="7" width="8" customWidth="1"/>
    <col min="10" max="10" width="13.1796875" style="28" bestFit="1" customWidth="1"/>
    <col min="11" max="11" width="14.1796875" bestFit="1" customWidth="1"/>
    <col min="12" max="12" width="17.7265625" bestFit="1" customWidth="1"/>
  </cols>
  <sheetData>
    <row r="1" spans="1:16" ht="36" x14ac:dyDescent="0.8">
      <c r="B1" s="155" t="s">
        <v>0</v>
      </c>
      <c r="C1" s="155"/>
      <c r="D1" s="155"/>
      <c r="E1" s="155"/>
    </row>
    <row r="2" spans="1:16" ht="27" customHeight="1" x14ac:dyDescent="0.35"/>
    <row r="3" spans="1:16" ht="31" x14ac:dyDescent="0.35">
      <c r="A3" s="6" t="s">
        <v>42</v>
      </c>
      <c r="B3" s="6" t="s">
        <v>1</v>
      </c>
      <c r="C3" s="6" t="s">
        <v>2</v>
      </c>
      <c r="D3" s="6" t="s">
        <v>3</v>
      </c>
      <c r="E3" s="6" t="s">
        <v>4</v>
      </c>
      <c r="J3" s="11" t="s">
        <v>20</v>
      </c>
      <c r="K3" s="11" t="s">
        <v>31</v>
      </c>
      <c r="L3" s="11" t="s">
        <v>15</v>
      </c>
    </row>
    <row r="4" spans="1:16" s="1" customFormat="1" ht="27" customHeight="1" x14ac:dyDescent="0.35">
      <c r="A4" s="156" t="s">
        <v>69</v>
      </c>
      <c r="B4" s="68">
        <v>1001</v>
      </c>
      <c r="C4" s="69" t="s">
        <v>86</v>
      </c>
      <c r="D4" s="69" t="s">
        <v>5</v>
      </c>
      <c r="E4" s="69" t="s">
        <v>93</v>
      </c>
      <c r="J4" s="27"/>
      <c r="K4" s="3"/>
      <c r="L4" s="3"/>
    </row>
    <row r="5" spans="1:16" s="1" customFormat="1" ht="27" customHeight="1" x14ac:dyDescent="0.35">
      <c r="A5" s="156"/>
      <c r="B5" s="68">
        <v>2001</v>
      </c>
      <c r="C5" s="69" t="s">
        <v>87</v>
      </c>
      <c r="D5" s="69" t="s">
        <v>5</v>
      </c>
      <c r="E5" s="69" t="s">
        <v>92</v>
      </c>
      <c r="F5"/>
      <c r="G5"/>
      <c r="H5"/>
      <c r="J5" s="27"/>
      <c r="K5" s="3"/>
      <c r="L5" s="3"/>
      <c r="N5"/>
      <c r="O5"/>
      <c r="P5"/>
    </row>
    <row r="6" spans="1:16" s="1" customFormat="1" ht="27" customHeight="1" x14ac:dyDescent="0.35">
      <c r="A6" s="156"/>
      <c r="B6" s="68">
        <v>3001</v>
      </c>
      <c r="C6" s="69" t="s">
        <v>104</v>
      </c>
      <c r="D6" s="69" t="s">
        <v>5</v>
      </c>
      <c r="E6" s="69" t="s">
        <v>92</v>
      </c>
      <c r="F6"/>
      <c r="G6"/>
      <c r="H6"/>
      <c r="J6" s="27" t="s">
        <v>96</v>
      </c>
      <c r="K6" s="3" t="s">
        <v>84</v>
      </c>
      <c r="L6" s="3" t="s">
        <v>99</v>
      </c>
      <c r="N6"/>
      <c r="O6"/>
      <c r="P6"/>
    </row>
    <row r="7" spans="1:16" s="1" customFormat="1" ht="27" customHeight="1" x14ac:dyDescent="0.35">
      <c r="A7" s="156"/>
      <c r="B7" s="68">
        <v>4001</v>
      </c>
      <c r="C7" s="69" t="s">
        <v>90</v>
      </c>
      <c r="D7" s="69" t="s">
        <v>5</v>
      </c>
      <c r="E7" s="69" t="s">
        <v>92</v>
      </c>
      <c r="F7"/>
      <c r="G7"/>
      <c r="H7"/>
      <c r="J7" s="27" t="s">
        <v>39</v>
      </c>
      <c r="K7" s="3" t="s">
        <v>96</v>
      </c>
      <c r="L7" s="3" t="s">
        <v>82</v>
      </c>
      <c r="N7"/>
      <c r="O7"/>
      <c r="P7"/>
    </row>
    <row r="8" spans="1:16" s="1" customFormat="1" ht="27" customHeight="1" x14ac:dyDescent="0.35">
      <c r="A8" s="156"/>
      <c r="B8" s="68">
        <v>5001</v>
      </c>
      <c r="C8" s="69" t="s">
        <v>105</v>
      </c>
      <c r="D8" s="69" t="s">
        <v>5</v>
      </c>
      <c r="E8" s="69" t="s">
        <v>91</v>
      </c>
      <c r="F8"/>
      <c r="G8"/>
      <c r="H8"/>
      <c r="J8" s="27" t="s">
        <v>40</v>
      </c>
      <c r="K8" s="27"/>
      <c r="L8" s="3" t="s">
        <v>83</v>
      </c>
      <c r="N8"/>
      <c r="O8"/>
      <c r="P8"/>
    </row>
    <row r="9" spans="1:16" s="1" customFormat="1" ht="27" customHeight="1" x14ac:dyDescent="0.35">
      <c r="A9" s="156"/>
      <c r="B9" s="68">
        <v>6001</v>
      </c>
      <c r="C9" s="69" t="s">
        <v>103</v>
      </c>
      <c r="D9" s="69" t="s">
        <v>5</v>
      </c>
      <c r="E9" s="69" t="s">
        <v>91</v>
      </c>
      <c r="F9"/>
      <c r="G9"/>
      <c r="H9"/>
      <c r="J9" s="27" t="s">
        <v>97</v>
      </c>
      <c r="K9" s="27"/>
      <c r="L9" s="3" t="s">
        <v>107</v>
      </c>
      <c r="N9"/>
      <c r="O9"/>
      <c r="P9"/>
    </row>
    <row r="10" spans="1:16" s="1" customFormat="1" ht="27" customHeight="1" x14ac:dyDescent="0.35">
      <c r="A10" s="156"/>
      <c r="B10" s="68">
        <v>7001</v>
      </c>
      <c r="C10" s="69" t="s">
        <v>100</v>
      </c>
      <c r="D10" s="69" t="s">
        <v>5</v>
      </c>
      <c r="E10" s="69" t="s">
        <v>89</v>
      </c>
      <c r="F10"/>
      <c r="G10"/>
      <c r="H10"/>
      <c r="J10" s="27" t="s">
        <v>98</v>
      </c>
      <c r="K10" s="67"/>
      <c r="L10" s="5"/>
      <c r="N10"/>
      <c r="O10"/>
      <c r="P10"/>
    </row>
    <row r="11" spans="1:16" s="1" customFormat="1" ht="27" customHeight="1" x14ac:dyDescent="0.35">
      <c r="A11" s="156"/>
      <c r="B11" s="68">
        <v>8001</v>
      </c>
      <c r="C11" s="69" t="s">
        <v>22</v>
      </c>
      <c r="D11" s="69" t="s">
        <v>5</v>
      </c>
      <c r="E11" s="69" t="s">
        <v>23</v>
      </c>
      <c r="F11"/>
      <c r="G11"/>
      <c r="H11"/>
      <c r="J11" s="27" t="s">
        <v>74</v>
      </c>
      <c r="K11" s="67"/>
      <c r="L11" s="5"/>
      <c r="N11"/>
      <c r="O11"/>
      <c r="P11"/>
    </row>
    <row r="12" spans="1:16" s="1" customFormat="1" ht="27" customHeight="1" x14ac:dyDescent="0.35">
      <c r="A12" s="156" t="s">
        <v>43</v>
      </c>
      <c r="B12" s="70">
        <v>9001</v>
      </c>
      <c r="C12" s="71" t="s">
        <v>6</v>
      </c>
      <c r="D12" s="71" t="s">
        <v>7</v>
      </c>
      <c r="E12" s="71" t="s">
        <v>94</v>
      </c>
      <c r="F12"/>
      <c r="G12"/>
      <c r="H12"/>
      <c r="J12" s="27" t="s">
        <v>44</v>
      </c>
      <c r="K12" s="67"/>
      <c r="L12" s="5"/>
      <c r="N12"/>
      <c r="O12"/>
      <c r="P12"/>
    </row>
    <row r="13" spans="1:16" s="1" customFormat="1" ht="27" customHeight="1" x14ac:dyDescent="0.35">
      <c r="A13" s="156"/>
      <c r="B13" s="70">
        <v>10001</v>
      </c>
      <c r="C13" s="71" t="s">
        <v>88</v>
      </c>
      <c r="D13" s="71" t="s">
        <v>7</v>
      </c>
      <c r="E13" s="71" t="s">
        <v>95</v>
      </c>
      <c r="F13"/>
      <c r="G13"/>
      <c r="H13"/>
      <c r="J13" s="27" t="s">
        <v>70</v>
      </c>
      <c r="K13" s="67"/>
      <c r="L13" s="5"/>
      <c r="N13"/>
      <c r="O13"/>
      <c r="P13"/>
    </row>
    <row r="14" spans="1:16" s="1" customFormat="1" ht="27" customHeight="1" x14ac:dyDescent="0.35">
      <c r="A14" s="156"/>
      <c r="B14" s="70">
        <v>11001</v>
      </c>
      <c r="C14" s="71" t="s">
        <v>8</v>
      </c>
      <c r="D14" s="71" t="s">
        <v>7</v>
      </c>
      <c r="E14" s="71" t="s">
        <v>9</v>
      </c>
      <c r="F14"/>
      <c r="G14"/>
      <c r="H14"/>
      <c r="J14" s="27" t="s">
        <v>75</v>
      </c>
      <c r="K14" s="67"/>
      <c r="L14" s="5"/>
    </row>
    <row r="15" spans="1:16" ht="27" customHeight="1" x14ac:dyDescent="0.35">
      <c r="B15" s="12">
        <v>12001</v>
      </c>
      <c r="C15" s="13" t="s">
        <v>10</v>
      </c>
      <c r="D15" s="13" t="s">
        <v>11</v>
      </c>
      <c r="E15" s="13" t="s">
        <v>12</v>
      </c>
      <c r="J15" s="27" t="s">
        <v>76</v>
      </c>
      <c r="K15" s="67"/>
      <c r="L15" s="5"/>
    </row>
    <row r="16" spans="1:16" ht="27" customHeight="1" x14ac:dyDescent="0.35">
      <c r="J16" s="27" t="s">
        <v>77</v>
      </c>
      <c r="K16" s="67"/>
      <c r="L16" s="5"/>
    </row>
    <row r="17" spans="1:12" ht="27" customHeight="1" x14ac:dyDescent="0.35">
      <c r="J17" s="27" t="s">
        <v>78</v>
      </c>
      <c r="K17" s="67"/>
      <c r="L17" s="5"/>
    </row>
    <row r="18" spans="1:12" ht="27" customHeight="1" x14ac:dyDescent="0.35">
      <c r="J18" s="27" t="s">
        <v>79</v>
      </c>
      <c r="K18" s="67"/>
      <c r="L18" s="5"/>
    </row>
    <row r="19" spans="1:12" ht="27" customHeight="1" x14ac:dyDescent="0.35">
      <c r="A19" s="157" t="s">
        <v>63</v>
      </c>
      <c r="B19" s="158"/>
      <c r="C19" s="158"/>
      <c r="D19" s="158"/>
      <c r="E19" s="159"/>
      <c r="J19" s="27" t="s">
        <v>80</v>
      </c>
      <c r="K19" s="67"/>
      <c r="L19" s="5"/>
    </row>
    <row r="20" spans="1:12" ht="27" customHeight="1" x14ac:dyDescent="0.35">
      <c r="A20" s="154" t="s">
        <v>24</v>
      </c>
      <c r="B20" s="154"/>
      <c r="C20" s="153" t="s">
        <v>58</v>
      </c>
      <c r="D20" s="153"/>
      <c r="E20" s="4" t="s">
        <v>50</v>
      </c>
      <c r="J20" s="27"/>
      <c r="K20" s="67"/>
      <c r="L20" s="5"/>
    </row>
    <row r="21" spans="1:12" ht="27" customHeight="1" x14ac:dyDescent="0.35">
      <c r="A21" s="154" t="s">
        <v>59</v>
      </c>
      <c r="B21" s="154"/>
      <c r="C21" s="153" t="s">
        <v>57</v>
      </c>
      <c r="D21" s="153"/>
      <c r="E21" s="4" t="s">
        <v>56</v>
      </c>
    </row>
    <row r="22" spans="1:12" ht="27" customHeight="1" x14ac:dyDescent="0.35">
      <c r="A22" s="154" t="s">
        <v>51</v>
      </c>
      <c r="B22" s="154"/>
      <c r="C22" s="153" t="s">
        <v>64</v>
      </c>
      <c r="D22" s="153"/>
      <c r="E22" s="4" t="s">
        <v>53</v>
      </c>
    </row>
    <row r="23" spans="1:12" ht="27" customHeight="1" x14ac:dyDescent="0.35">
      <c r="A23" s="154" t="s">
        <v>61</v>
      </c>
      <c r="B23" s="154"/>
      <c r="C23" s="153" t="s">
        <v>52</v>
      </c>
      <c r="D23" s="153"/>
      <c r="E23" s="4" t="s">
        <v>67</v>
      </c>
    </row>
    <row r="24" spans="1:12" ht="27" customHeight="1" x14ac:dyDescent="0.35">
      <c r="A24" s="154" t="s">
        <v>62</v>
      </c>
      <c r="B24" s="154"/>
      <c r="C24" s="153" t="s">
        <v>60</v>
      </c>
      <c r="D24" s="153"/>
      <c r="E24" s="4" t="s">
        <v>68</v>
      </c>
    </row>
    <row r="25" spans="1:12" ht="27" customHeight="1" x14ac:dyDescent="0.35">
      <c r="A25" s="154" t="s">
        <v>28</v>
      </c>
      <c r="B25" s="154"/>
      <c r="C25" s="153" t="s">
        <v>65</v>
      </c>
      <c r="D25" s="153"/>
      <c r="E25" s="4" t="s">
        <v>66</v>
      </c>
      <c r="J25"/>
    </row>
    <row r="26" spans="1:12" ht="27" customHeight="1" x14ac:dyDescent="0.35">
      <c r="J26"/>
    </row>
    <row r="27" spans="1:12" ht="27" customHeight="1" x14ac:dyDescent="0.35">
      <c r="B27" s="2"/>
      <c r="J27"/>
    </row>
    <row r="28" spans="1:12" ht="27" customHeight="1" x14ac:dyDescent="0.35">
      <c r="J28"/>
    </row>
    <row r="29" spans="1:12" ht="27" customHeight="1" x14ac:dyDescent="0.35">
      <c r="J29"/>
    </row>
    <row r="30" spans="1:12" ht="27" customHeight="1" x14ac:dyDescent="0.35">
      <c r="J30"/>
    </row>
    <row r="31" spans="1:12" ht="27" customHeight="1" x14ac:dyDescent="0.35">
      <c r="J31"/>
    </row>
    <row r="32" spans="1:12" ht="27" customHeight="1" x14ac:dyDescent="0.35">
      <c r="J32"/>
    </row>
    <row r="33" spans="10:10" ht="27" customHeight="1" x14ac:dyDescent="0.35">
      <c r="J33"/>
    </row>
    <row r="34" spans="10:10" ht="27" customHeight="1" x14ac:dyDescent="0.35">
      <c r="J34"/>
    </row>
    <row r="35" spans="10:10" ht="27" customHeight="1" x14ac:dyDescent="0.35">
      <c r="J35"/>
    </row>
    <row r="36" spans="10:10" ht="27" customHeight="1" x14ac:dyDescent="0.35">
      <c r="J36"/>
    </row>
    <row r="37" spans="10:10" ht="27" customHeight="1" x14ac:dyDescent="0.35">
      <c r="J37"/>
    </row>
    <row r="38" spans="10:10" ht="27" customHeight="1" x14ac:dyDescent="0.35">
      <c r="J38"/>
    </row>
    <row r="39" spans="10:10" ht="27" customHeight="1" x14ac:dyDescent="0.35">
      <c r="J39"/>
    </row>
    <row r="40" spans="10:10" ht="27" customHeight="1" x14ac:dyDescent="0.35">
      <c r="J40"/>
    </row>
    <row r="41" spans="10:10" ht="27" customHeight="1" x14ac:dyDescent="0.35">
      <c r="J41"/>
    </row>
    <row r="42" spans="10:10" ht="27" customHeight="1" x14ac:dyDescent="0.35">
      <c r="J42"/>
    </row>
    <row r="43" spans="10:10" ht="27" customHeight="1" x14ac:dyDescent="0.35">
      <c r="J43"/>
    </row>
    <row r="44" spans="10:10" ht="27" customHeight="1" x14ac:dyDescent="0.35">
      <c r="J44"/>
    </row>
    <row r="45" spans="10:10" ht="27" customHeight="1" x14ac:dyDescent="0.35">
      <c r="J45"/>
    </row>
    <row r="46" spans="10:10" ht="27" customHeight="1" x14ac:dyDescent="0.35">
      <c r="J46"/>
    </row>
    <row r="47" spans="10:10" ht="27" customHeight="1" x14ac:dyDescent="0.35">
      <c r="J47"/>
    </row>
    <row r="48" spans="10:10" ht="27" customHeight="1" x14ac:dyDescent="0.35"/>
    <row r="49" ht="27" customHeight="1" x14ac:dyDescent="0.35"/>
    <row r="50" ht="27" customHeight="1" x14ac:dyDescent="0.35"/>
    <row r="51" ht="27" customHeight="1" x14ac:dyDescent="0.35"/>
    <row r="52" ht="27" customHeight="1" x14ac:dyDescent="0.35"/>
    <row r="53" ht="27" customHeight="1" x14ac:dyDescent="0.35"/>
    <row r="54" ht="15.65" customHeight="1" x14ac:dyDescent="0.35"/>
    <row r="55" ht="15.65" customHeight="1" x14ac:dyDescent="0.35"/>
    <row r="56" ht="31.4" customHeight="1" x14ac:dyDescent="0.35"/>
    <row r="57" ht="15.65" customHeight="1" x14ac:dyDescent="0.35"/>
    <row r="58" ht="15.65" customHeight="1" x14ac:dyDescent="0.35"/>
  </sheetData>
  <sortState xmlns:xlrd2="http://schemas.microsoft.com/office/spreadsheetml/2017/richdata2" ref="K8:K17">
    <sortCondition ref="K8:K17"/>
  </sortState>
  <mergeCells count="16">
    <mergeCell ref="B1:E1"/>
    <mergeCell ref="A4:A11"/>
    <mergeCell ref="A12:A14"/>
    <mergeCell ref="A20:B20"/>
    <mergeCell ref="C20:D20"/>
    <mergeCell ref="A19:E19"/>
    <mergeCell ref="A21:B21"/>
    <mergeCell ref="A22:B22"/>
    <mergeCell ref="A23:B23"/>
    <mergeCell ref="A24:B24"/>
    <mergeCell ref="A25:B25"/>
    <mergeCell ref="C21:D21"/>
    <mergeCell ref="C22:D22"/>
    <mergeCell ref="C23:D23"/>
    <mergeCell ref="C24:D24"/>
    <mergeCell ref="C25:D25"/>
  </mergeCells>
  <phoneticPr fontId="25" type="noConversion"/>
  <dataValidations xWindow="1418" yWindow="346" count="3">
    <dataValidation type="list" allowBlank="1" showInputMessage="1" showErrorMessage="1" sqref="L4" xr:uid="{2E9EE3E0-1BFF-44B1-A2D4-B41F3329F600}">
      <formula1>$K$25:$K$28</formula1>
    </dataValidation>
    <dataValidation type="list" allowBlank="1" showInputMessage="1" showErrorMessage="1" sqref="J4" xr:uid="{F2299951-3E84-49EA-AF45-4B2F7CDFFDD1}">
      <formula1>$J$5:$J$9</formula1>
    </dataValidation>
    <dataValidation type="list" allowBlank="1" showInputMessage="1" showErrorMessage="1" sqref="K4" xr:uid="{B4AC92C3-F372-4A96-82A6-A28452F86AAF}">
      <formula1>$K$5:$K$12</formula1>
    </dataValidation>
  </dataValidations>
  <pageMargins left="0.7" right="0.7"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DC4D4-C5AF-45E7-83B2-1BA874378990}">
  <sheetPr codeName="Sheet2"/>
  <dimension ref="A1:O246"/>
  <sheetViews>
    <sheetView showGridLines="0" tabSelected="1" topLeftCell="G218" zoomScale="70" zoomScaleNormal="70" workbookViewId="0">
      <selection activeCell="O244" sqref="O244"/>
    </sheetView>
  </sheetViews>
  <sheetFormatPr defaultColWidth="8.81640625" defaultRowHeight="14.5" x14ac:dyDescent="0.35"/>
  <cols>
    <col min="1" max="1" width="10.453125" style="29" customWidth="1"/>
    <col min="2" max="2" width="15.54296875" style="52" customWidth="1"/>
    <col min="3" max="3" width="8.453125" style="29" customWidth="1"/>
    <col min="4" max="4" width="46.81640625" style="29" customWidth="1"/>
    <col min="5" max="5" width="48.26953125" style="81" customWidth="1"/>
    <col min="6" max="6" width="16.7265625" style="50" bestFit="1" customWidth="1"/>
    <col min="7" max="7" width="31.54296875" style="29" bestFit="1" customWidth="1"/>
    <col min="8" max="8" width="90.7265625" style="81" customWidth="1"/>
    <col min="9" max="9" width="18.81640625" style="29" bestFit="1" customWidth="1"/>
    <col min="10" max="10" width="17.26953125" style="51" bestFit="1" customWidth="1"/>
    <col min="11" max="11" width="20" style="29" bestFit="1" customWidth="1"/>
    <col min="12" max="12" width="15.81640625" style="29" customWidth="1"/>
    <col min="13" max="13" width="12.81640625" style="29" customWidth="1"/>
    <col min="14" max="14" width="11.453125" style="52" customWidth="1"/>
    <col min="15" max="15" width="8.81640625" style="53"/>
    <col min="16" max="16384" width="8.81640625" style="29"/>
  </cols>
  <sheetData>
    <row r="1" spans="1:15" ht="38.15" customHeight="1" x14ac:dyDescent="0.35">
      <c r="A1" s="41"/>
      <c r="B1" s="41"/>
      <c r="C1" s="42" t="s">
        <v>73</v>
      </c>
      <c r="D1" s="42" t="s">
        <v>84</v>
      </c>
      <c r="E1" s="80"/>
      <c r="F1" s="43"/>
      <c r="G1" s="44"/>
      <c r="H1" s="82"/>
      <c r="I1" s="54" t="s">
        <v>130</v>
      </c>
      <c r="J1" s="57" t="str">
        <f>"Total Hrs." &amp; " " &amp;RIGHT(I1,2)*RIGHT(L1,2)</f>
        <v>Total Hrs. 135</v>
      </c>
      <c r="K1" s="63" t="str">
        <f>"Sub Total Hrs." &amp; "    "&amp;SUBTOTAL(9,K3:K200)</f>
        <v>Sub Total Hrs.    1056.5</v>
      </c>
      <c r="L1" s="57" t="s">
        <v>81</v>
      </c>
      <c r="M1" s="45"/>
      <c r="N1" s="54" t="str">
        <f ca="1" xml:space="preserve"> "Current WK#" &amp; " "&amp; WEEKNUM(TODAY())</f>
        <v>Current WK# 30</v>
      </c>
      <c r="O1" s="46"/>
    </row>
    <row r="2" spans="1:15" ht="31" x14ac:dyDescent="0.35">
      <c r="A2" s="47" t="s">
        <v>72</v>
      </c>
      <c r="B2" s="47" t="s">
        <v>1</v>
      </c>
      <c r="C2" s="47" t="s">
        <v>21</v>
      </c>
      <c r="D2" s="47" t="s">
        <v>13</v>
      </c>
      <c r="E2" s="47" t="s">
        <v>102</v>
      </c>
      <c r="F2" s="47" t="s">
        <v>106</v>
      </c>
      <c r="G2" s="47" t="s">
        <v>101</v>
      </c>
      <c r="H2" s="47" t="s">
        <v>14</v>
      </c>
      <c r="I2" s="47" t="s">
        <v>15</v>
      </c>
      <c r="J2" s="47" t="s">
        <v>16</v>
      </c>
      <c r="K2" s="47" t="s">
        <v>17</v>
      </c>
      <c r="L2" s="47" t="s">
        <v>4</v>
      </c>
      <c r="M2" s="47" t="s">
        <v>31</v>
      </c>
      <c r="N2" s="47" t="s">
        <v>18</v>
      </c>
      <c r="O2" s="47" t="s">
        <v>19</v>
      </c>
    </row>
    <row r="3" spans="1:15" x14ac:dyDescent="0.35">
      <c r="A3" s="85" t="s">
        <v>40</v>
      </c>
      <c r="B3" s="49">
        <v>7001</v>
      </c>
      <c r="C3" s="86">
        <v>5</v>
      </c>
      <c r="D3" s="78" t="s">
        <v>108</v>
      </c>
      <c r="E3" s="58"/>
      <c r="F3" s="77" t="s">
        <v>109</v>
      </c>
      <c r="G3" s="58" t="s">
        <v>110</v>
      </c>
      <c r="H3" s="87" t="s">
        <v>111</v>
      </c>
      <c r="I3" s="48" t="s">
        <v>82</v>
      </c>
      <c r="J3" s="88">
        <v>45656</v>
      </c>
      <c r="K3" s="60">
        <v>9</v>
      </c>
      <c r="L3" s="58"/>
      <c r="M3" s="48" t="s">
        <v>84</v>
      </c>
      <c r="N3" s="61">
        <f t="shared" ref="N3:N11" si="0">IF(J3&gt;0,WEEKNUM(J3,1),"")</f>
        <v>53</v>
      </c>
      <c r="O3" s="89" t="str">
        <f t="shared" ref="O3:O11" si="1">IF(J3&gt;0,TEXT(J3,"Mmm-yy"),"")</f>
        <v>Dec-24</v>
      </c>
    </row>
    <row r="4" spans="1:15" x14ac:dyDescent="0.35">
      <c r="A4" s="85" t="s">
        <v>40</v>
      </c>
      <c r="B4" s="49">
        <v>1001</v>
      </c>
      <c r="C4" s="49">
        <v>6</v>
      </c>
      <c r="D4" s="58" t="s">
        <v>112</v>
      </c>
      <c r="E4" s="58"/>
      <c r="F4" s="59" t="s">
        <v>113</v>
      </c>
      <c r="G4" s="58" t="s">
        <v>114</v>
      </c>
      <c r="H4" s="72" t="s">
        <v>115</v>
      </c>
      <c r="I4" s="48" t="s">
        <v>82</v>
      </c>
      <c r="J4" s="88">
        <v>45657</v>
      </c>
      <c r="K4" s="60">
        <v>9</v>
      </c>
      <c r="L4" s="58"/>
      <c r="M4" s="48" t="s">
        <v>84</v>
      </c>
      <c r="N4" s="61">
        <f t="shared" si="0"/>
        <v>53</v>
      </c>
      <c r="O4" s="89" t="str">
        <f t="shared" si="1"/>
        <v>Dec-24</v>
      </c>
    </row>
    <row r="5" spans="1:15" x14ac:dyDescent="0.35">
      <c r="A5" s="48" t="s">
        <v>40</v>
      </c>
      <c r="B5" s="49">
        <v>12001</v>
      </c>
      <c r="C5" s="49"/>
      <c r="D5" s="58" t="s">
        <v>10</v>
      </c>
      <c r="E5" s="58"/>
      <c r="F5" s="59"/>
      <c r="G5" s="58"/>
      <c r="H5" s="75" t="s">
        <v>119</v>
      </c>
      <c r="I5" s="48" t="s">
        <v>82</v>
      </c>
      <c r="J5" s="88">
        <v>45658</v>
      </c>
      <c r="K5" s="60">
        <v>9</v>
      </c>
      <c r="L5" s="58"/>
      <c r="M5" s="48" t="s">
        <v>84</v>
      </c>
      <c r="N5" s="61">
        <f t="shared" si="0"/>
        <v>1</v>
      </c>
      <c r="O5" s="62" t="str">
        <f t="shared" si="1"/>
        <v>Jan-25</v>
      </c>
    </row>
    <row r="6" spans="1:15" x14ac:dyDescent="0.35">
      <c r="A6" s="90" t="s">
        <v>40</v>
      </c>
      <c r="B6" s="86">
        <v>1001</v>
      </c>
      <c r="C6" s="86">
        <v>6</v>
      </c>
      <c r="D6" s="58" t="s">
        <v>112</v>
      </c>
      <c r="E6" s="78"/>
      <c r="F6" s="59" t="s">
        <v>113</v>
      </c>
      <c r="G6" s="58" t="s">
        <v>114</v>
      </c>
      <c r="H6" s="72" t="s">
        <v>116</v>
      </c>
      <c r="I6" s="79" t="s">
        <v>82</v>
      </c>
      <c r="J6" s="88">
        <v>45659</v>
      </c>
      <c r="K6" s="60">
        <v>9</v>
      </c>
      <c r="L6" s="78"/>
      <c r="M6" s="79" t="s">
        <v>84</v>
      </c>
      <c r="N6" s="91">
        <f t="shared" si="0"/>
        <v>1</v>
      </c>
      <c r="O6" s="92" t="str">
        <f t="shared" si="1"/>
        <v>Jan-25</v>
      </c>
    </row>
    <row r="7" spans="1:15" x14ac:dyDescent="0.35">
      <c r="A7" s="90" t="s">
        <v>40</v>
      </c>
      <c r="B7" s="49">
        <v>2001</v>
      </c>
      <c r="C7" s="86">
        <v>6</v>
      </c>
      <c r="D7" s="58" t="s">
        <v>112</v>
      </c>
      <c r="E7" s="58"/>
      <c r="F7" s="59" t="s">
        <v>113</v>
      </c>
      <c r="G7" s="58" t="s">
        <v>114</v>
      </c>
      <c r="H7" s="72" t="s">
        <v>117</v>
      </c>
      <c r="I7" s="79" t="s">
        <v>82</v>
      </c>
      <c r="J7" s="88">
        <v>45660</v>
      </c>
      <c r="K7" s="60">
        <v>9</v>
      </c>
      <c r="L7" s="58"/>
      <c r="M7" s="79" t="s">
        <v>84</v>
      </c>
      <c r="N7" s="91">
        <f t="shared" si="0"/>
        <v>1</v>
      </c>
      <c r="O7" s="92" t="str">
        <f t="shared" si="1"/>
        <v>Jan-25</v>
      </c>
    </row>
    <row r="8" spans="1:15" x14ac:dyDescent="0.35">
      <c r="A8" s="48" t="s">
        <v>40</v>
      </c>
      <c r="B8" s="49">
        <v>7001</v>
      </c>
      <c r="C8" s="49">
        <v>5</v>
      </c>
      <c r="D8" s="58" t="s">
        <v>112</v>
      </c>
      <c r="E8" s="58"/>
      <c r="F8" s="59" t="s">
        <v>113</v>
      </c>
      <c r="G8" s="58" t="s">
        <v>114</v>
      </c>
      <c r="H8" s="72" t="s">
        <v>120</v>
      </c>
      <c r="I8" s="48" t="s">
        <v>82</v>
      </c>
      <c r="J8" s="88">
        <v>45663</v>
      </c>
      <c r="K8" s="60">
        <v>9</v>
      </c>
      <c r="L8" s="58"/>
      <c r="M8" s="48" t="s">
        <v>84</v>
      </c>
      <c r="N8" s="61">
        <f t="shared" si="0"/>
        <v>2</v>
      </c>
      <c r="O8" s="62" t="str">
        <f t="shared" si="1"/>
        <v>Jan-25</v>
      </c>
    </row>
    <row r="9" spans="1:15" x14ac:dyDescent="0.35">
      <c r="A9" s="48" t="s">
        <v>40</v>
      </c>
      <c r="B9" s="49">
        <v>1001</v>
      </c>
      <c r="C9" s="49">
        <v>6</v>
      </c>
      <c r="D9" s="58" t="s">
        <v>112</v>
      </c>
      <c r="E9" s="58"/>
      <c r="F9" s="59" t="s">
        <v>113</v>
      </c>
      <c r="G9" s="58" t="s">
        <v>114</v>
      </c>
      <c r="H9" s="72" t="s">
        <v>120</v>
      </c>
      <c r="I9" s="48" t="s">
        <v>82</v>
      </c>
      <c r="J9" s="88">
        <v>45664</v>
      </c>
      <c r="K9" s="60">
        <v>9</v>
      </c>
      <c r="L9" s="58"/>
      <c r="M9" s="48" t="s">
        <v>84</v>
      </c>
      <c r="N9" s="61">
        <f t="shared" si="0"/>
        <v>2</v>
      </c>
      <c r="O9" s="62" t="str">
        <f t="shared" si="1"/>
        <v>Jan-25</v>
      </c>
    </row>
    <row r="10" spans="1:15" x14ac:dyDescent="0.35">
      <c r="A10" s="48" t="s">
        <v>40</v>
      </c>
      <c r="B10" s="49">
        <v>1001</v>
      </c>
      <c r="C10" s="49">
        <v>6</v>
      </c>
      <c r="D10" s="58" t="s">
        <v>112</v>
      </c>
      <c r="E10" s="58"/>
      <c r="F10" s="59" t="s">
        <v>113</v>
      </c>
      <c r="G10" s="58" t="s">
        <v>114</v>
      </c>
      <c r="H10" s="72" t="s">
        <v>121</v>
      </c>
      <c r="I10" s="48" t="s">
        <v>82</v>
      </c>
      <c r="J10" s="88">
        <v>45665</v>
      </c>
      <c r="K10" s="60">
        <v>9</v>
      </c>
      <c r="L10" s="58"/>
      <c r="M10" s="48" t="s">
        <v>84</v>
      </c>
      <c r="N10" s="61">
        <f t="shared" si="0"/>
        <v>2</v>
      </c>
      <c r="O10" s="62" t="str">
        <f t="shared" si="1"/>
        <v>Jan-25</v>
      </c>
    </row>
    <row r="11" spans="1:15" x14ac:dyDescent="0.35">
      <c r="A11" s="48" t="s">
        <v>40</v>
      </c>
      <c r="B11" s="49">
        <v>2001</v>
      </c>
      <c r="C11" s="49">
        <v>6</v>
      </c>
      <c r="D11" s="58" t="s">
        <v>112</v>
      </c>
      <c r="E11" s="58"/>
      <c r="F11" s="59" t="s">
        <v>113</v>
      </c>
      <c r="G11" s="58" t="s">
        <v>114</v>
      </c>
      <c r="H11" s="72" t="s">
        <v>117</v>
      </c>
      <c r="I11" s="48" t="s">
        <v>82</v>
      </c>
      <c r="J11" s="88">
        <v>45666</v>
      </c>
      <c r="K11" s="60">
        <v>3.5</v>
      </c>
      <c r="L11" s="58"/>
      <c r="M11" s="48" t="s">
        <v>84</v>
      </c>
      <c r="N11" s="61">
        <f t="shared" si="0"/>
        <v>2</v>
      </c>
      <c r="O11" s="62" t="str">
        <f t="shared" si="1"/>
        <v>Jan-25</v>
      </c>
    </row>
    <row r="12" spans="1:15" x14ac:dyDescent="0.35">
      <c r="A12" s="48" t="s">
        <v>40</v>
      </c>
      <c r="B12" s="49">
        <v>4001</v>
      </c>
      <c r="C12" s="49">
        <v>5</v>
      </c>
      <c r="D12" s="58" t="s">
        <v>108</v>
      </c>
      <c r="E12" s="58"/>
      <c r="F12" s="59" t="s">
        <v>109</v>
      </c>
      <c r="G12" s="58" t="s">
        <v>110</v>
      </c>
      <c r="H12" s="58" t="s">
        <v>122</v>
      </c>
      <c r="I12" s="48" t="s">
        <v>82</v>
      </c>
      <c r="J12" s="88">
        <v>45666</v>
      </c>
      <c r="K12" s="60">
        <v>5</v>
      </c>
      <c r="L12" s="58"/>
      <c r="M12" s="48" t="s">
        <v>84</v>
      </c>
      <c r="N12" s="61">
        <f>IF(J12&gt;0,WEEKNUM(J12,1),"")</f>
        <v>2</v>
      </c>
      <c r="O12" s="62" t="str">
        <f>IF(J12&gt;0,TEXT(J12,"Mmm-yy"),"")</f>
        <v>Jan-25</v>
      </c>
    </row>
    <row r="13" spans="1:15" x14ac:dyDescent="0.35">
      <c r="A13" s="48" t="s">
        <v>40</v>
      </c>
      <c r="B13" s="49">
        <v>11001</v>
      </c>
      <c r="C13" s="49">
        <v>1</v>
      </c>
      <c r="D13" s="58" t="s">
        <v>8</v>
      </c>
      <c r="E13" s="58"/>
      <c r="F13" s="59"/>
      <c r="G13" s="58" t="s">
        <v>123</v>
      </c>
      <c r="H13" s="58" t="s">
        <v>124</v>
      </c>
      <c r="I13" s="48" t="s">
        <v>82</v>
      </c>
      <c r="J13" s="88">
        <v>45666</v>
      </c>
      <c r="K13" s="60">
        <v>0.5</v>
      </c>
      <c r="L13" s="58"/>
      <c r="M13" s="48" t="s">
        <v>84</v>
      </c>
      <c r="N13" s="61">
        <f>IF(J13&gt;0,WEEKNUM(J13,1),"")</f>
        <v>2</v>
      </c>
      <c r="O13" s="62" t="str">
        <f>IF(J13&gt;0,TEXT(J13,"Mmm-yy"),"")</f>
        <v>Jan-25</v>
      </c>
    </row>
    <row r="14" spans="1:15" x14ac:dyDescent="0.35">
      <c r="A14" s="48" t="s">
        <v>40</v>
      </c>
      <c r="B14" s="49">
        <v>2001</v>
      </c>
      <c r="C14" s="49">
        <v>6</v>
      </c>
      <c r="D14" s="58" t="s">
        <v>112</v>
      </c>
      <c r="E14" s="58"/>
      <c r="F14" s="59" t="s">
        <v>113</v>
      </c>
      <c r="G14" s="58" t="s">
        <v>114</v>
      </c>
      <c r="H14" s="72" t="s">
        <v>117</v>
      </c>
      <c r="I14" s="48" t="s">
        <v>82</v>
      </c>
      <c r="J14" s="88">
        <v>45667</v>
      </c>
      <c r="K14" s="60">
        <v>5</v>
      </c>
      <c r="L14" s="58"/>
      <c r="M14" s="48" t="s">
        <v>84</v>
      </c>
      <c r="N14" s="61">
        <f t="shared" ref="N14" si="2">IF(J14&gt;0,WEEKNUM(J14,1),"")</f>
        <v>2</v>
      </c>
      <c r="O14" s="62" t="str">
        <f t="shared" ref="O14" si="3">IF(J14&gt;0,TEXT(J14,"Mmm-yy"),"")</f>
        <v>Jan-25</v>
      </c>
    </row>
    <row r="15" spans="1:15" x14ac:dyDescent="0.35">
      <c r="A15" s="48" t="s">
        <v>40</v>
      </c>
      <c r="B15" s="49">
        <v>12001</v>
      </c>
      <c r="C15" s="49">
        <v>1</v>
      </c>
      <c r="D15" s="58" t="s">
        <v>10</v>
      </c>
      <c r="E15" s="58"/>
      <c r="F15" s="59"/>
      <c r="G15" s="58" t="s">
        <v>125</v>
      </c>
      <c r="H15" s="58" t="s">
        <v>125</v>
      </c>
      <c r="I15" s="48" t="s">
        <v>82</v>
      </c>
      <c r="J15" s="88">
        <v>45667</v>
      </c>
      <c r="K15" s="60">
        <v>4</v>
      </c>
      <c r="L15" s="58"/>
      <c r="M15" s="48" t="s">
        <v>84</v>
      </c>
      <c r="N15" s="61">
        <f>IF(J15&gt;0,WEEKNUM(J15,1),"")</f>
        <v>2</v>
      </c>
      <c r="O15" s="62" t="str">
        <f>IF(J15&gt;0,TEXT(J15,"Mmm-yy"),"")</f>
        <v>Jan-25</v>
      </c>
    </row>
    <row r="16" spans="1:15" x14ac:dyDescent="0.35">
      <c r="A16" s="48" t="s">
        <v>40</v>
      </c>
      <c r="B16" s="49">
        <v>2001</v>
      </c>
      <c r="C16" s="49">
        <v>6</v>
      </c>
      <c r="D16" s="58" t="s">
        <v>112</v>
      </c>
      <c r="E16" s="58"/>
      <c r="F16" s="59" t="s">
        <v>113</v>
      </c>
      <c r="G16" s="58" t="s">
        <v>114</v>
      </c>
      <c r="H16" s="72" t="s">
        <v>126</v>
      </c>
      <c r="I16" s="48" t="s">
        <v>82</v>
      </c>
      <c r="J16" s="88">
        <v>45670</v>
      </c>
      <c r="K16" s="60">
        <v>7</v>
      </c>
      <c r="L16" s="58"/>
      <c r="M16" s="48" t="s">
        <v>84</v>
      </c>
      <c r="N16" s="61">
        <f t="shared" ref="N16" si="4">IF(J16&gt;0,WEEKNUM(J16,1),"")</f>
        <v>3</v>
      </c>
      <c r="O16" s="62" t="str">
        <f t="shared" ref="O16" si="5">IF(J16&gt;0,TEXT(J16,"Mmm-yy"),"")</f>
        <v>Jan-25</v>
      </c>
    </row>
    <row r="17" spans="1:15" x14ac:dyDescent="0.35">
      <c r="A17" s="48" t="s">
        <v>40</v>
      </c>
      <c r="B17" s="49">
        <v>1001</v>
      </c>
      <c r="C17" s="49">
        <v>6</v>
      </c>
      <c r="D17" s="58" t="s">
        <v>112</v>
      </c>
      <c r="E17" s="73"/>
      <c r="F17" s="59" t="s">
        <v>113</v>
      </c>
      <c r="G17" s="58" t="s">
        <v>114</v>
      </c>
      <c r="H17" s="83" t="s">
        <v>127</v>
      </c>
      <c r="I17" s="48" t="s">
        <v>82</v>
      </c>
      <c r="J17" s="88">
        <v>45670</v>
      </c>
      <c r="K17" s="74">
        <v>2</v>
      </c>
      <c r="L17" s="75"/>
      <c r="M17" s="48" t="s">
        <v>84</v>
      </c>
      <c r="N17" s="76">
        <f>IF(J17&gt;0,WEEKNUM(J17,1),"")</f>
        <v>3</v>
      </c>
      <c r="O17" s="62" t="str">
        <f>IF(J17&gt;0,TEXT(J17,"Mmm-yy"),"")</f>
        <v>Jan-25</v>
      </c>
    </row>
    <row r="18" spans="1:15" x14ac:dyDescent="0.35">
      <c r="A18" s="48" t="s">
        <v>40</v>
      </c>
      <c r="B18" s="49">
        <v>12001</v>
      </c>
      <c r="C18" s="49"/>
      <c r="D18" s="58" t="s">
        <v>10</v>
      </c>
      <c r="E18" s="58"/>
      <c r="F18" s="59"/>
      <c r="G18" s="58"/>
      <c r="H18" s="72" t="s">
        <v>128</v>
      </c>
      <c r="I18" s="48" t="s">
        <v>82</v>
      </c>
      <c r="J18" s="88">
        <v>45671</v>
      </c>
      <c r="K18" s="60">
        <v>9</v>
      </c>
      <c r="L18" s="58"/>
      <c r="M18" s="48" t="s">
        <v>84</v>
      </c>
      <c r="N18" s="61">
        <f t="shared" ref="N18:N20" si="6">IF(J18&gt;0,WEEKNUM(J18,1),"")</f>
        <v>3</v>
      </c>
      <c r="O18" s="62" t="str">
        <f t="shared" ref="O18:O20" si="7">IF(J18&gt;0,TEXT(J18,"Mmm-yy"),"")</f>
        <v>Jan-25</v>
      </c>
    </row>
    <row r="19" spans="1:15" x14ac:dyDescent="0.35">
      <c r="A19" s="48" t="s">
        <v>40</v>
      </c>
      <c r="B19" s="49">
        <v>12001</v>
      </c>
      <c r="C19" s="49"/>
      <c r="D19" s="58" t="s">
        <v>10</v>
      </c>
      <c r="E19" s="58"/>
      <c r="F19" s="59"/>
      <c r="G19" s="58"/>
      <c r="H19" s="75" t="s">
        <v>118</v>
      </c>
      <c r="I19" s="48" t="s">
        <v>82</v>
      </c>
      <c r="J19" s="88">
        <v>45672</v>
      </c>
      <c r="K19" s="60">
        <v>9</v>
      </c>
      <c r="L19" s="58"/>
      <c r="M19" s="48" t="s">
        <v>84</v>
      </c>
      <c r="N19" s="61">
        <f t="shared" si="6"/>
        <v>3</v>
      </c>
      <c r="O19" s="62" t="str">
        <f t="shared" si="7"/>
        <v>Jan-25</v>
      </c>
    </row>
    <row r="20" spans="1:15" x14ac:dyDescent="0.35">
      <c r="A20" s="48" t="s">
        <v>40</v>
      </c>
      <c r="B20" s="49">
        <v>2001</v>
      </c>
      <c r="C20" s="49">
        <v>6</v>
      </c>
      <c r="D20" s="58" t="s">
        <v>112</v>
      </c>
      <c r="E20" s="58"/>
      <c r="F20" s="59" t="s">
        <v>113</v>
      </c>
      <c r="G20" s="58" t="s">
        <v>114</v>
      </c>
      <c r="H20" s="72" t="s">
        <v>121</v>
      </c>
      <c r="I20" s="48" t="s">
        <v>82</v>
      </c>
      <c r="J20" s="88">
        <v>45673</v>
      </c>
      <c r="K20" s="60">
        <v>9</v>
      </c>
      <c r="L20" s="58"/>
      <c r="M20" s="48" t="s">
        <v>84</v>
      </c>
      <c r="N20" s="61">
        <f t="shared" si="6"/>
        <v>3</v>
      </c>
      <c r="O20" s="62" t="str">
        <f t="shared" si="7"/>
        <v>Jan-25</v>
      </c>
    </row>
    <row r="21" spans="1:15" x14ac:dyDescent="0.35">
      <c r="A21" s="48" t="s">
        <v>40</v>
      </c>
      <c r="B21" s="49">
        <v>2001</v>
      </c>
      <c r="C21" s="49">
        <v>6</v>
      </c>
      <c r="D21" s="58" t="s">
        <v>112</v>
      </c>
      <c r="E21" s="58"/>
      <c r="F21" s="59" t="s">
        <v>109</v>
      </c>
      <c r="G21" s="58" t="s">
        <v>110</v>
      </c>
      <c r="H21" s="72" t="s">
        <v>120</v>
      </c>
      <c r="I21" s="48" t="s">
        <v>82</v>
      </c>
      <c r="J21" s="88">
        <v>45674</v>
      </c>
      <c r="K21" s="60">
        <v>9</v>
      </c>
      <c r="L21" s="58"/>
      <c r="M21" s="48" t="s">
        <v>84</v>
      </c>
      <c r="N21" s="61">
        <f>IF(J21&gt;0,WEEKNUM(J21,1),"")</f>
        <v>3</v>
      </c>
      <c r="O21" s="62" t="str">
        <f>IF(J21&gt;0,TEXT(J21,"Mmm-yy"),"")</f>
        <v>Jan-25</v>
      </c>
    </row>
    <row r="22" spans="1:15" x14ac:dyDescent="0.35">
      <c r="A22" s="93" t="s">
        <v>40</v>
      </c>
      <c r="B22" s="94">
        <v>2001</v>
      </c>
      <c r="C22" s="94">
        <v>6</v>
      </c>
      <c r="D22" s="95" t="s">
        <v>112</v>
      </c>
      <c r="E22" s="96"/>
      <c r="F22" s="59" t="s">
        <v>113</v>
      </c>
      <c r="G22" s="58" t="s">
        <v>114</v>
      </c>
      <c r="H22" s="83" t="s">
        <v>131</v>
      </c>
      <c r="I22" s="113" t="s">
        <v>82</v>
      </c>
      <c r="J22" s="97">
        <v>45677</v>
      </c>
      <c r="K22" s="98">
        <v>9</v>
      </c>
      <c r="L22" s="99"/>
      <c r="M22" s="100" t="s">
        <v>84</v>
      </c>
      <c r="N22" s="101">
        <f t="shared" ref="N22:N25" si="8">IF(J22&gt;0,WEEKNUM(J22,1),"")</f>
        <v>4</v>
      </c>
      <c r="O22" s="102" t="str">
        <f t="shared" ref="O22:O25" si="9">IF(J22&gt;0,TEXT(J22,"Mmm-yy"),"")</f>
        <v>Jan-25</v>
      </c>
    </row>
    <row r="23" spans="1:15" x14ac:dyDescent="0.35">
      <c r="A23" s="93" t="s">
        <v>40</v>
      </c>
      <c r="B23" s="94">
        <v>2001</v>
      </c>
      <c r="C23" s="94">
        <v>6</v>
      </c>
      <c r="D23" s="95" t="s">
        <v>112</v>
      </c>
      <c r="E23" s="96"/>
      <c r="F23" s="59" t="s">
        <v>113</v>
      </c>
      <c r="G23" s="58" t="s">
        <v>114</v>
      </c>
      <c r="H23" s="83" t="s">
        <v>132</v>
      </c>
      <c r="I23" s="113" t="s">
        <v>82</v>
      </c>
      <c r="J23" s="97">
        <v>45678</v>
      </c>
      <c r="K23" s="98">
        <v>9</v>
      </c>
      <c r="L23" s="99"/>
      <c r="M23" s="100" t="s">
        <v>84</v>
      </c>
      <c r="N23" s="101">
        <f t="shared" si="8"/>
        <v>4</v>
      </c>
      <c r="O23" s="102" t="str">
        <f t="shared" si="9"/>
        <v>Jan-25</v>
      </c>
    </row>
    <row r="24" spans="1:15" x14ac:dyDescent="0.35">
      <c r="A24" s="93" t="s">
        <v>40</v>
      </c>
      <c r="B24" s="94">
        <v>2001</v>
      </c>
      <c r="C24" s="94">
        <v>5</v>
      </c>
      <c r="D24" s="95" t="s">
        <v>112</v>
      </c>
      <c r="E24" s="96"/>
      <c r="F24" s="59" t="s">
        <v>113</v>
      </c>
      <c r="G24" s="58" t="s">
        <v>114</v>
      </c>
      <c r="H24" s="83" t="s">
        <v>133</v>
      </c>
      <c r="I24" s="113" t="s">
        <v>82</v>
      </c>
      <c r="J24" s="97">
        <v>45679</v>
      </c>
      <c r="K24" s="98">
        <v>9</v>
      </c>
      <c r="L24" s="99"/>
      <c r="M24" s="100" t="s">
        <v>84</v>
      </c>
      <c r="N24" s="101">
        <f t="shared" si="8"/>
        <v>4</v>
      </c>
      <c r="O24" s="102" t="str">
        <f t="shared" si="9"/>
        <v>Jan-25</v>
      </c>
    </row>
    <row r="25" spans="1:15" x14ac:dyDescent="0.35">
      <c r="A25" s="93" t="s">
        <v>40</v>
      </c>
      <c r="B25" s="94">
        <v>2001</v>
      </c>
      <c r="C25" s="94">
        <v>6</v>
      </c>
      <c r="D25" s="95" t="s">
        <v>112</v>
      </c>
      <c r="E25" s="96"/>
      <c r="F25" s="59" t="s">
        <v>113</v>
      </c>
      <c r="G25" s="58" t="s">
        <v>114</v>
      </c>
      <c r="H25" s="83" t="s">
        <v>134</v>
      </c>
      <c r="I25" s="113" t="s">
        <v>82</v>
      </c>
      <c r="J25" s="97">
        <v>45680</v>
      </c>
      <c r="K25" s="98">
        <v>7</v>
      </c>
      <c r="L25" s="99"/>
      <c r="M25" s="100" t="s">
        <v>84</v>
      </c>
      <c r="N25" s="101">
        <f t="shared" si="8"/>
        <v>4</v>
      </c>
      <c r="O25" s="102" t="str">
        <f t="shared" si="9"/>
        <v>Jan-25</v>
      </c>
    </row>
    <row r="26" spans="1:15" x14ac:dyDescent="0.35">
      <c r="A26" s="103" t="s">
        <v>40</v>
      </c>
      <c r="B26" s="104">
        <v>11001</v>
      </c>
      <c r="C26" s="104">
        <v>6</v>
      </c>
      <c r="D26" s="105" t="s">
        <v>112</v>
      </c>
      <c r="E26" s="106"/>
      <c r="F26" s="77" t="s">
        <v>113</v>
      </c>
      <c r="G26" s="78" t="s">
        <v>114</v>
      </c>
      <c r="H26" s="84" t="s">
        <v>135</v>
      </c>
      <c r="I26" s="114" t="s">
        <v>82</v>
      </c>
      <c r="J26" s="107">
        <v>45680</v>
      </c>
      <c r="K26" s="108">
        <v>2</v>
      </c>
      <c r="L26" s="109"/>
      <c r="M26" s="110" t="s">
        <v>84</v>
      </c>
      <c r="N26" s="111">
        <f>IF(J26&gt;0,WEEKNUM(J26,1),"")</f>
        <v>4</v>
      </c>
      <c r="O26" s="112" t="str">
        <f>IF(J26&gt;0,TEXT(J26,"Mmm-yy"),"")</f>
        <v>Jan-25</v>
      </c>
    </row>
    <row r="27" spans="1:15" x14ac:dyDescent="0.35">
      <c r="A27" s="93" t="s">
        <v>40</v>
      </c>
      <c r="B27" s="94">
        <v>2001</v>
      </c>
      <c r="C27" s="94">
        <v>6</v>
      </c>
      <c r="D27" s="95" t="s">
        <v>112</v>
      </c>
      <c r="E27" s="96"/>
      <c r="F27" s="59" t="s">
        <v>113</v>
      </c>
      <c r="G27" s="58" t="s">
        <v>114</v>
      </c>
      <c r="H27" s="83" t="s">
        <v>136</v>
      </c>
      <c r="I27" s="113" t="s">
        <v>82</v>
      </c>
      <c r="J27" s="97">
        <v>45684</v>
      </c>
      <c r="K27" s="98">
        <v>9</v>
      </c>
      <c r="L27" s="99"/>
      <c r="M27" s="100" t="s">
        <v>84</v>
      </c>
      <c r="N27" s="101">
        <f t="shared" ref="N27:N55" si="10">IF(J27&gt;0,WEEKNUM(J27,1),"")</f>
        <v>5</v>
      </c>
      <c r="O27" s="102" t="str">
        <f t="shared" ref="O27:O71" si="11">IF(J27&gt;0,TEXT(J27,"Mmm-yy"),"")</f>
        <v>Jan-25</v>
      </c>
    </row>
    <row r="28" spans="1:15" ht="29" x14ac:dyDescent="0.35">
      <c r="A28" s="93" t="s">
        <v>40</v>
      </c>
      <c r="B28" s="94">
        <v>2001</v>
      </c>
      <c r="C28" s="94">
        <v>6</v>
      </c>
      <c r="D28" s="95" t="s">
        <v>112</v>
      </c>
      <c r="E28" s="96"/>
      <c r="F28" s="59" t="s">
        <v>113</v>
      </c>
      <c r="G28" s="58" t="s">
        <v>114</v>
      </c>
      <c r="H28" s="83" t="s">
        <v>137</v>
      </c>
      <c r="I28" s="113" t="s">
        <v>82</v>
      </c>
      <c r="J28" s="97">
        <v>45685</v>
      </c>
      <c r="K28" s="98">
        <v>9</v>
      </c>
      <c r="L28" s="99"/>
      <c r="M28" s="100" t="s">
        <v>84</v>
      </c>
      <c r="N28" s="101">
        <f t="shared" si="10"/>
        <v>5</v>
      </c>
      <c r="O28" s="102" t="str">
        <f t="shared" si="11"/>
        <v>Jan-25</v>
      </c>
    </row>
    <row r="29" spans="1:15" ht="29" x14ac:dyDescent="0.35">
      <c r="A29" s="93" t="s">
        <v>40</v>
      </c>
      <c r="B29" s="94">
        <v>2001</v>
      </c>
      <c r="C29" s="94">
        <v>5</v>
      </c>
      <c r="D29" s="95" t="s">
        <v>112</v>
      </c>
      <c r="E29" s="96"/>
      <c r="F29" s="59" t="s">
        <v>113</v>
      </c>
      <c r="G29" s="58" t="s">
        <v>114</v>
      </c>
      <c r="H29" s="83" t="s">
        <v>137</v>
      </c>
      <c r="I29" s="113" t="s">
        <v>82</v>
      </c>
      <c r="J29" s="97">
        <v>45686</v>
      </c>
      <c r="K29" s="98">
        <v>9</v>
      </c>
      <c r="L29" s="99"/>
      <c r="M29" s="100" t="s">
        <v>84</v>
      </c>
      <c r="N29" s="101">
        <f t="shared" si="10"/>
        <v>5</v>
      </c>
      <c r="O29" s="102" t="str">
        <f t="shared" si="11"/>
        <v>Jan-25</v>
      </c>
    </row>
    <row r="30" spans="1:15" x14ac:dyDescent="0.35">
      <c r="A30" s="93" t="s">
        <v>40</v>
      </c>
      <c r="B30" s="94">
        <v>2001</v>
      </c>
      <c r="C30" s="94">
        <v>6</v>
      </c>
      <c r="D30" s="95" t="s">
        <v>112</v>
      </c>
      <c r="E30" s="96"/>
      <c r="F30" s="59" t="s">
        <v>113</v>
      </c>
      <c r="G30" s="58" t="s">
        <v>114</v>
      </c>
      <c r="H30" s="83" t="s">
        <v>138</v>
      </c>
      <c r="I30" s="113" t="s">
        <v>82</v>
      </c>
      <c r="J30" s="97">
        <v>45687</v>
      </c>
      <c r="K30" s="98">
        <v>9</v>
      </c>
      <c r="L30" s="99"/>
      <c r="M30" s="100" t="s">
        <v>84</v>
      </c>
      <c r="N30" s="101">
        <f t="shared" si="10"/>
        <v>5</v>
      </c>
      <c r="O30" s="102" t="str">
        <f t="shared" si="11"/>
        <v>Jan-25</v>
      </c>
    </row>
    <row r="31" spans="1:15" x14ac:dyDescent="0.35">
      <c r="A31" s="103" t="s">
        <v>40</v>
      </c>
      <c r="B31" s="104">
        <v>2001</v>
      </c>
      <c r="C31" s="104">
        <v>6</v>
      </c>
      <c r="D31" s="105" t="s">
        <v>112</v>
      </c>
      <c r="E31" s="106"/>
      <c r="F31" s="77" t="s">
        <v>113</v>
      </c>
      <c r="G31" s="78" t="s">
        <v>114</v>
      </c>
      <c r="H31" s="84" t="s">
        <v>139</v>
      </c>
      <c r="I31" s="114" t="s">
        <v>82</v>
      </c>
      <c r="J31" s="107">
        <v>45688</v>
      </c>
      <c r="K31" s="108">
        <v>9</v>
      </c>
      <c r="L31" s="109"/>
      <c r="M31" s="110" t="s">
        <v>84</v>
      </c>
      <c r="N31" s="111">
        <f t="shared" si="10"/>
        <v>5</v>
      </c>
      <c r="O31" s="112" t="str">
        <f t="shared" si="11"/>
        <v>Jan-25</v>
      </c>
    </row>
    <row r="32" spans="1:15" ht="29" x14ac:dyDescent="0.35">
      <c r="A32" s="93" t="s">
        <v>40</v>
      </c>
      <c r="B32" s="94">
        <v>2001</v>
      </c>
      <c r="C32" s="94">
        <v>6</v>
      </c>
      <c r="D32" s="95" t="s">
        <v>112</v>
      </c>
      <c r="E32" s="96"/>
      <c r="F32" s="59" t="s">
        <v>113</v>
      </c>
      <c r="G32" s="58" t="s">
        <v>114</v>
      </c>
      <c r="H32" s="83" t="s">
        <v>140</v>
      </c>
      <c r="I32" s="113" t="s">
        <v>82</v>
      </c>
      <c r="J32" s="97">
        <v>45691</v>
      </c>
      <c r="K32" s="98">
        <v>9</v>
      </c>
      <c r="L32" s="99"/>
      <c r="M32" s="100" t="s">
        <v>84</v>
      </c>
      <c r="N32" s="101">
        <f t="shared" si="10"/>
        <v>6</v>
      </c>
      <c r="O32" s="102" t="str">
        <f t="shared" si="11"/>
        <v>Feb-25</v>
      </c>
    </row>
    <row r="33" spans="1:15" x14ac:dyDescent="0.35">
      <c r="A33" s="93" t="s">
        <v>40</v>
      </c>
      <c r="B33" s="94">
        <v>2001</v>
      </c>
      <c r="C33" s="94">
        <v>6</v>
      </c>
      <c r="D33" s="95" t="s">
        <v>112</v>
      </c>
      <c r="E33" s="96"/>
      <c r="F33" s="59" t="s">
        <v>113</v>
      </c>
      <c r="G33" s="58" t="s">
        <v>114</v>
      </c>
      <c r="H33" s="83" t="s">
        <v>141</v>
      </c>
      <c r="I33" s="113" t="s">
        <v>82</v>
      </c>
      <c r="J33" s="97">
        <v>45692</v>
      </c>
      <c r="K33" s="98">
        <v>9</v>
      </c>
      <c r="L33" s="99"/>
      <c r="M33" s="100" t="s">
        <v>84</v>
      </c>
      <c r="N33" s="101">
        <f t="shared" si="10"/>
        <v>6</v>
      </c>
      <c r="O33" s="102" t="str">
        <f t="shared" si="11"/>
        <v>Feb-25</v>
      </c>
    </row>
    <row r="34" spans="1:15" x14ac:dyDescent="0.35">
      <c r="A34" s="93" t="s">
        <v>40</v>
      </c>
      <c r="B34" s="94">
        <v>2001</v>
      </c>
      <c r="C34" s="94">
        <v>5</v>
      </c>
      <c r="D34" s="95" t="s">
        <v>112</v>
      </c>
      <c r="E34" s="96"/>
      <c r="F34" s="59" t="s">
        <v>113</v>
      </c>
      <c r="G34" s="58" t="s">
        <v>114</v>
      </c>
      <c r="H34" s="83" t="s">
        <v>141</v>
      </c>
      <c r="I34" s="113" t="s">
        <v>82</v>
      </c>
      <c r="J34" s="97">
        <v>45693</v>
      </c>
      <c r="K34" s="98">
        <v>9</v>
      </c>
      <c r="L34" s="99"/>
      <c r="M34" s="100" t="s">
        <v>84</v>
      </c>
      <c r="N34" s="101">
        <f t="shared" si="10"/>
        <v>6</v>
      </c>
      <c r="O34" s="102" t="str">
        <f t="shared" si="11"/>
        <v>Feb-25</v>
      </c>
    </row>
    <row r="35" spans="1:15" ht="29" x14ac:dyDescent="0.35">
      <c r="A35" s="93" t="s">
        <v>40</v>
      </c>
      <c r="B35" s="94">
        <v>2001</v>
      </c>
      <c r="C35" s="94">
        <v>6</v>
      </c>
      <c r="D35" s="95" t="s">
        <v>112</v>
      </c>
      <c r="E35" s="96"/>
      <c r="F35" s="59" t="s">
        <v>113</v>
      </c>
      <c r="G35" s="58" t="s">
        <v>114</v>
      </c>
      <c r="H35" s="83" t="s">
        <v>142</v>
      </c>
      <c r="I35" s="113" t="s">
        <v>82</v>
      </c>
      <c r="J35" s="97">
        <v>45694</v>
      </c>
      <c r="K35" s="98">
        <v>9</v>
      </c>
      <c r="L35" s="99"/>
      <c r="M35" s="100" t="s">
        <v>84</v>
      </c>
      <c r="N35" s="101">
        <f t="shared" si="10"/>
        <v>6</v>
      </c>
      <c r="O35" s="102" t="str">
        <f t="shared" si="11"/>
        <v>Feb-25</v>
      </c>
    </row>
    <row r="36" spans="1:15" x14ac:dyDescent="0.35">
      <c r="A36" s="103" t="s">
        <v>40</v>
      </c>
      <c r="B36" s="104">
        <v>2001</v>
      </c>
      <c r="C36" s="104">
        <v>6</v>
      </c>
      <c r="D36" s="105" t="s">
        <v>112</v>
      </c>
      <c r="E36" s="106"/>
      <c r="F36" s="77" t="s">
        <v>113</v>
      </c>
      <c r="G36" s="78" t="s">
        <v>114</v>
      </c>
      <c r="H36" s="84" t="s">
        <v>143</v>
      </c>
      <c r="I36" s="114" t="s">
        <v>82</v>
      </c>
      <c r="J36" s="107">
        <v>45695</v>
      </c>
      <c r="K36" s="108">
        <v>9</v>
      </c>
      <c r="L36" s="109"/>
      <c r="M36" s="110" t="s">
        <v>84</v>
      </c>
      <c r="N36" s="111">
        <f t="shared" si="10"/>
        <v>6</v>
      </c>
      <c r="O36" s="112" t="str">
        <f t="shared" si="11"/>
        <v>Feb-25</v>
      </c>
    </row>
    <row r="37" spans="1:15" x14ac:dyDescent="0.35">
      <c r="A37" s="93" t="s">
        <v>40</v>
      </c>
      <c r="B37" s="94">
        <v>2001</v>
      </c>
      <c r="C37" s="94">
        <v>6</v>
      </c>
      <c r="D37" s="95" t="s">
        <v>112</v>
      </c>
      <c r="E37" s="96"/>
      <c r="F37" s="59" t="s">
        <v>113</v>
      </c>
      <c r="G37" s="58" t="s">
        <v>114</v>
      </c>
      <c r="H37" s="83" t="s">
        <v>144</v>
      </c>
      <c r="I37" s="113" t="s">
        <v>82</v>
      </c>
      <c r="J37" s="116">
        <v>45698</v>
      </c>
      <c r="K37" s="98">
        <v>9</v>
      </c>
      <c r="L37" s="99"/>
      <c r="M37" s="100" t="s">
        <v>84</v>
      </c>
      <c r="N37" s="101">
        <f t="shared" si="10"/>
        <v>7</v>
      </c>
      <c r="O37" s="102" t="str">
        <f t="shared" si="11"/>
        <v>Feb-25</v>
      </c>
    </row>
    <row r="38" spans="1:15" x14ac:dyDescent="0.35">
      <c r="A38" s="93" t="s">
        <v>40</v>
      </c>
      <c r="B38" s="94">
        <v>2001</v>
      </c>
      <c r="C38" s="94">
        <v>6</v>
      </c>
      <c r="D38" s="95" t="s">
        <v>112</v>
      </c>
      <c r="E38" s="96"/>
      <c r="F38" s="59" t="s">
        <v>113</v>
      </c>
      <c r="G38" s="58" t="s">
        <v>114</v>
      </c>
      <c r="H38" s="83" t="s">
        <v>145</v>
      </c>
      <c r="I38" s="113" t="s">
        <v>82</v>
      </c>
      <c r="J38" s="116">
        <v>45699</v>
      </c>
      <c r="K38" s="98">
        <v>9</v>
      </c>
      <c r="L38" s="99"/>
      <c r="M38" s="100" t="s">
        <v>84</v>
      </c>
      <c r="N38" s="101">
        <f t="shared" si="10"/>
        <v>7</v>
      </c>
      <c r="O38" s="102" t="str">
        <f t="shared" si="11"/>
        <v>Feb-25</v>
      </c>
    </row>
    <row r="39" spans="1:15" x14ac:dyDescent="0.35">
      <c r="A39" s="93" t="s">
        <v>40</v>
      </c>
      <c r="B39" s="94">
        <v>2001</v>
      </c>
      <c r="C39" s="94">
        <v>6</v>
      </c>
      <c r="D39" s="95" t="s">
        <v>112</v>
      </c>
      <c r="E39" s="96"/>
      <c r="F39" s="59" t="s">
        <v>113</v>
      </c>
      <c r="G39" s="58" t="s">
        <v>114</v>
      </c>
      <c r="H39" s="83" t="s">
        <v>145</v>
      </c>
      <c r="I39" s="113" t="s">
        <v>82</v>
      </c>
      <c r="J39" s="116">
        <v>45700</v>
      </c>
      <c r="K39" s="98">
        <v>9</v>
      </c>
      <c r="L39" s="99"/>
      <c r="M39" s="100" t="s">
        <v>84</v>
      </c>
      <c r="N39" s="101">
        <f t="shared" si="10"/>
        <v>7</v>
      </c>
      <c r="O39" s="102" t="str">
        <f t="shared" si="11"/>
        <v>Feb-25</v>
      </c>
    </row>
    <row r="40" spans="1:15" x14ac:dyDescent="0.35">
      <c r="A40" s="93" t="s">
        <v>40</v>
      </c>
      <c r="B40" s="94">
        <v>1001</v>
      </c>
      <c r="C40" s="94">
        <v>7</v>
      </c>
      <c r="D40" s="95" t="s">
        <v>146</v>
      </c>
      <c r="E40" s="96"/>
      <c r="F40" s="59" t="s">
        <v>113</v>
      </c>
      <c r="G40" s="58" t="s">
        <v>147</v>
      </c>
      <c r="H40" s="83" t="s">
        <v>148</v>
      </c>
      <c r="I40" s="113" t="s">
        <v>82</v>
      </c>
      <c r="J40" s="116">
        <v>45701</v>
      </c>
      <c r="K40" s="98">
        <v>2</v>
      </c>
      <c r="L40" s="99"/>
      <c r="M40" s="100" t="s">
        <v>84</v>
      </c>
      <c r="N40" s="101">
        <f>IF(J40&gt;0,WEEKNUM(J40,1),"")</f>
        <v>7</v>
      </c>
      <c r="O40" s="102" t="str">
        <f>IF(J40&gt;0,TEXT(J40,"Mmm-yy"),"")</f>
        <v>Feb-25</v>
      </c>
    </row>
    <row r="41" spans="1:15" x14ac:dyDescent="0.35">
      <c r="A41" s="93" t="s">
        <v>40</v>
      </c>
      <c r="B41" s="94">
        <v>2001</v>
      </c>
      <c r="C41" s="94">
        <v>6</v>
      </c>
      <c r="D41" s="95" t="s">
        <v>112</v>
      </c>
      <c r="E41" s="96"/>
      <c r="F41" s="59" t="s">
        <v>113</v>
      </c>
      <c r="G41" s="58" t="s">
        <v>114</v>
      </c>
      <c r="H41" s="83" t="s">
        <v>145</v>
      </c>
      <c r="I41" s="113" t="s">
        <v>82</v>
      </c>
      <c r="J41" s="116">
        <v>45701</v>
      </c>
      <c r="K41" s="98">
        <v>7</v>
      </c>
      <c r="L41" s="99"/>
      <c r="M41" s="100" t="s">
        <v>84</v>
      </c>
      <c r="N41" s="101">
        <f t="shared" si="10"/>
        <v>7</v>
      </c>
      <c r="O41" s="102" t="str">
        <f t="shared" si="11"/>
        <v>Feb-25</v>
      </c>
    </row>
    <row r="42" spans="1:15" x14ac:dyDescent="0.35">
      <c r="A42" s="103" t="s">
        <v>40</v>
      </c>
      <c r="B42" s="104">
        <v>2001</v>
      </c>
      <c r="C42" s="104">
        <v>6</v>
      </c>
      <c r="D42" s="105" t="s">
        <v>112</v>
      </c>
      <c r="E42" s="106"/>
      <c r="F42" s="77" t="s">
        <v>113</v>
      </c>
      <c r="G42" s="78" t="s">
        <v>114</v>
      </c>
      <c r="H42" s="84" t="s">
        <v>149</v>
      </c>
      <c r="I42" s="114" t="s">
        <v>82</v>
      </c>
      <c r="J42" s="117">
        <v>45702</v>
      </c>
      <c r="K42" s="108">
        <v>9</v>
      </c>
      <c r="L42" s="109"/>
      <c r="M42" s="110" t="s">
        <v>84</v>
      </c>
      <c r="N42" s="111">
        <f t="shared" si="10"/>
        <v>7</v>
      </c>
      <c r="O42" s="112" t="str">
        <f t="shared" si="11"/>
        <v>Feb-25</v>
      </c>
    </row>
    <row r="43" spans="1:15" x14ac:dyDescent="0.35">
      <c r="A43" s="93" t="s">
        <v>40</v>
      </c>
      <c r="B43" s="94">
        <v>2001</v>
      </c>
      <c r="C43" s="94">
        <v>6</v>
      </c>
      <c r="D43" s="95" t="s">
        <v>112</v>
      </c>
      <c r="E43" s="96"/>
      <c r="F43" s="59" t="s">
        <v>113</v>
      </c>
      <c r="G43" s="58" t="s">
        <v>114</v>
      </c>
      <c r="H43" s="83" t="s">
        <v>150</v>
      </c>
      <c r="I43" s="113" t="s">
        <v>82</v>
      </c>
      <c r="J43" s="116">
        <v>45705</v>
      </c>
      <c r="K43" s="98">
        <v>6</v>
      </c>
      <c r="L43" s="99"/>
      <c r="M43" s="100" t="s">
        <v>84</v>
      </c>
      <c r="N43" s="101">
        <f t="shared" si="10"/>
        <v>8</v>
      </c>
      <c r="O43" s="102" t="str">
        <f t="shared" si="11"/>
        <v>Feb-25</v>
      </c>
    </row>
    <row r="44" spans="1:15" x14ac:dyDescent="0.35">
      <c r="A44" s="93" t="s">
        <v>40</v>
      </c>
      <c r="B44" s="94">
        <v>10001</v>
      </c>
      <c r="C44" s="94">
        <v>6</v>
      </c>
      <c r="D44" s="95" t="s">
        <v>88</v>
      </c>
      <c r="E44" s="96"/>
      <c r="F44" s="59" t="s">
        <v>113</v>
      </c>
      <c r="G44" s="58" t="s">
        <v>114</v>
      </c>
      <c r="H44" s="83" t="s">
        <v>151</v>
      </c>
      <c r="I44" s="113" t="s">
        <v>82</v>
      </c>
      <c r="J44" s="116">
        <v>45705</v>
      </c>
      <c r="K44" s="98">
        <v>3</v>
      </c>
      <c r="L44" s="99"/>
      <c r="M44" s="100" t="s">
        <v>84</v>
      </c>
      <c r="N44" s="101">
        <f>IF(J44&gt;0,WEEKNUM(J44,1),"")</f>
        <v>8</v>
      </c>
      <c r="O44" s="102" t="str">
        <f>IF(J44&gt;0,TEXT(J44,"Mmm-yy"),"")</f>
        <v>Feb-25</v>
      </c>
    </row>
    <row r="45" spans="1:15" x14ac:dyDescent="0.35">
      <c r="A45" s="93" t="s">
        <v>40</v>
      </c>
      <c r="B45" s="94">
        <v>1001</v>
      </c>
      <c r="C45" s="94">
        <v>6</v>
      </c>
      <c r="D45" s="95" t="s">
        <v>152</v>
      </c>
      <c r="E45" s="96"/>
      <c r="F45" s="59" t="s">
        <v>113</v>
      </c>
      <c r="G45" s="58" t="s">
        <v>153</v>
      </c>
      <c r="H45" s="83" t="s">
        <v>154</v>
      </c>
      <c r="I45" s="113" t="s">
        <v>82</v>
      </c>
      <c r="J45" s="116">
        <v>45706</v>
      </c>
      <c r="K45" s="98">
        <v>9</v>
      </c>
      <c r="L45" s="99"/>
      <c r="M45" s="100" t="s">
        <v>84</v>
      </c>
      <c r="N45" s="101">
        <f t="shared" si="10"/>
        <v>8</v>
      </c>
      <c r="O45" s="102" t="str">
        <f t="shared" si="11"/>
        <v>Feb-25</v>
      </c>
    </row>
    <row r="46" spans="1:15" ht="29" x14ac:dyDescent="0.35">
      <c r="A46" s="93" t="s">
        <v>40</v>
      </c>
      <c r="B46" s="94">
        <v>6001</v>
      </c>
      <c r="C46" s="94">
        <v>6</v>
      </c>
      <c r="D46" s="95" t="s">
        <v>112</v>
      </c>
      <c r="E46" s="96"/>
      <c r="F46" s="59" t="s">
        <v>113</v>
      </c>
      <c r="G46" s="58" t="s">
        <v>114</v>
      </c>
      <c r="H46" s="83" t="s">
        <v>155</v>
      </c>
      <c r="I46" s="113" t="s">
        <v>82</v>
      </c>
      <c r="J46" s="116">
        <v>45707</v>
      </c>
      <c r="K46" s="98">
        <v>4</v>
      </c>
      <c r="L46" s="99"/>
      <c r="M46" s="100" t="s">
        <v>84</v>
      </c>
      <c r="N46" s="101">
        <f t="shared" si="10"/>
        <v>8</v>
      </c>
      <c r="O46" s="102" t="str">
        <f t="shared" si="11"/>
        <v>Feb-25</v>
      </c>
    </row>
    <row r="47" spans="1:15" x14ac:dyDescent="0.35">
      <c r="A47" s="93" t="s">
        <v>40</v>
      </c>
      <c r="B47" s="94">
        <v>2001</v>
      </c>
      <c r="C47" s="94">
        <v>7</v>
      </c>
      <c r="D47" s="95" t="s">
        <v>146</v>
      </c>
      <c r="E47" s="96"/>
      <c r="F47" s="59" t="s">
        <v>113</v>
      </c>
      <c r="G47" s="58" t="s">
        <v>147</v>
      </c>
      <c r="H47" s="83" t="s">
        <v>156</v>
      </c>
      <c r="I47" s="113" t="s">
        <v>82</v>
      </c>
      <c r="J47" s="116">
        <v>45707</v>
      </c>
      <c r="K47" s="98">
        <v>5</v>
      </c>
      <c r="L47" s="99"/>
      <c r="M47" s="100" t="s">
        <v>84</v>
      </c>
      <c r="N47" s="101">
        <f>IF(J47&gt;0,WEEKNUM(J47,1),"")</f>
        <v>8</v>
      </c>
      <c r="O47" s="102" t="str">
        <f>IF(J47&gt;0,TEXT(J47,"Mmm-yy"),"")</f>
        <v>Feb-25</v>
      </c>
    </row>
    <row r="48" spans="1:15" x14ac:dyDescent="0.35">
      <c r="A48" s="93" t="s">
        <v>40</v>
      </c>
      <c r="B48" s="94">
        <v>2001</v>
      </c>
      <c r="C48" s="94">
        <v>6</v>
      </c>
      <c r="D48" s="95" t="s">
        <v>112</v>
      </c>
      <c r="E48" s="96"/>
      <c r="F48" s="59" t="s">
        <v>113</v>
      </c>
      <c r="G48" s="58" t="s">
        <v>114</v>
      </c>
      <c r="H48" s="83" t="s">
        <v>156</v>
      </c>
      <c r="I48" s="113" t="s">
        <v>82</v>
      </c>
      <c r="J48" s="116">
        <v>45708</v>
      </c>
      <c r="K48" s="98">
        <v>5</v>
      </c>
      <c r="L48" s="99"/>
      <c r="M48" s="100" t="s">
        <v>84</v>
      </c>
      <c r="N48" s="101">
        <f t="shared" si="10"/>
        <v>8</v>
      </c>
      <c r="O48" s="102" t="str">
        <f t="shared" si="11"/>
        <v>Feb-25</v>
      </c>
    </row>
    <row r="49" spans="1:15" x14ac:dyDescent="0.35">
      <c r="A49" s="93" t="s">
        <v>40</v>
      </c>
      <c r="B49" s="94">
        <v>10001</v>
      </c>
      <c r="C49" s="94">
        <v>6</v>
      </c>
      <c r="D49" s="95" t="s">
        <v>88</v>
      </c>
      <c r="E49" s="96"/>
      <c r="F49" s="59" t="s">
        <v>113</v>
      </c>
      <c r="G49" s="58" t="s">
        <v>147</v>
      </c>
      <c r="H49" s="83" t="s">
        <v>157</v>
      </c>
      <c r="I49" s="113" t="s">
        <v>82</v>
      </c>
      <c r="J49" s="116">
        <v>45708</v>
      </c>
      <c r="K49" s="98">
        <v>4</v>
      </c>
      <c r="L49" s="99"/>
      <c r="M49" s="100" t="s">
        <v>84</v>
      </c>
      <c r="N49" s="101">
        <f>IF(J49&gt;0,WEEKNUM(J49,1),"")</f>
        <v>8</v>
      </c>
      <c r="O49" s="102" t="str">
        <f>IF(J49&gt;0,TEXT(J49,"Mmm-yy"),"")</f>
        <v>Feb-25</v>
      </c>
    </row>
    <row r="50" spans="1:15" ht="29" x14ac:dyDescent="0.35">
      <c r="A50" s="93" t="s">
        <v>40</v>
      </c>
      <c r="B50" s="94">
        <v>1001</v>
      </c>
      <c r="C50" s="94">
        <v>8</v>
      </c>
      <c r="D50" s="95" t="s">
        <v>158</v>
      </c>
      <c r="E50" s="96"/>
      <c r="F50" s="59" t="s">
        <v>113</v>
      </c>
      <c r="G50" s="58" t="s">
        <v>159</v>
      </c>
      <c r="H50" s="83" t="s">
        <v>160</v>
      </c>
      <c r="I50" s="113" t="s">
        <v>82</v>
      </c>
      <c r="J50" s="116">
        <v>45709</v>
      </c>
      <c r="K50" s="98">
        <v>2</v>
      </c>
      <c r="L50" s="99"/>
      <c r="M50" s="100" t="s">
        <v>84</v>
      </c>
      <c r="N50" s="101">
        <f>IF(J50&gt;0,WEEKNUM(J50,1),"")</f>
        <v>8</v>
      </c>
      <c r="O50" s="102" t="str">
        <f>IF(J50&gt;0,TEXT(J50,"Mmm-yy"),"")</f>
        <v>Feb-25</v>
      </c>
    </row>
    <row r="51" spans="1:15" x14ac:dyDescent="0.35">
      <c r="A51" s="103" t="s">
        <v>40</v>
      </c>
      <c r="B51" s="104">
        <v>2001</v>
      </c>
      <c r="C51" s="104">
        <v>6</v>
      </c>
      <c r="D51" s="105" t="s">
        <v>112</v>
      </c>
      <c r="E51" s="106"/>
      <c r="F51" s="77" t="s">
        <v>113</v>
      </c>
      <c r="G51" s="78" t="s">
        <v>114</v>
      </c>
      <c r="H51" s="84" t="s">
        <v>149</v>
      </c>
      <c r="I51" s="114" t="s">
        <v>82</v>
      </c>
      <c r="J51" s="117">
        <v>45709</v>
      </c>
      <c r="K51" s="108">
        <v>7</v>
      </c>
      <c r="L51" s="109"/>
      <c r="M51" s="110" t="s">
        <v>84</v>
      </c>
      <c r="N51" s="111">
        <f t="shared" si="10"/>
        <v>8</v>
      </c>
      <c r="O51" s="112" t="str">
        <f t="shared" si="11"/>
        <v>Feb-25</v>
      </c>
    </row>
    <row r="52" spans="1:15" x14ac:dyDescent="0.35">
      <c r="A52" s="93" t="s">
        <v>40</v>
      </c>
      <c r="B52" s="94">
        <v>2001</v>
      </c>
      <c r="C52" s="94">
        <v>6</v>
      </c>
      <c r="D52" s="95" t="s">
        <v>146</v>
      </c>
      <c r="E52" s="96"/>
      <c r="F52" s="59" t="s">
        <v>113</v>
      </c>
      <c r="G52" s="58" t="s">
        <v>114</v>
      </c>
      <c r="H52" s="83" t="s">
        <v>161</v>
      </c>
      <c r="I52" s="113" t="s">
        <v>82</v>
      </c>
      <c r="J52" s="116">
        <v>45712</v>
      </c>
      <c r="K52" s="98">
        <v>9</v>
      </c>
      <c r="L52" s="99"/>
      <c r="M52" s="100" t="s">
        <v>84</v>
      </c>
      <c r="N52" s="101">
        <f t="shared" si="10"/>
        <v>9</v>
      </c>
      <c r="O52" s="102" t="str">
        <f t="shared" si="11"/>
        <v>Feb-25</v>
      </c>
    </row>
    <row r="53" spans="1:15" x14ac:dyDescent="0.35">
      <c r="A53" s="93" t="s">
        <v>40</v>
      </c>
      <c r="B53" s="94">
        <v>10001</v>
      </c>
      <c r="C53" s="94">
        <v>6</v>
      </c>
      <c r="D53" s="95" t="s">
        <v>88</v>
      </c>
      <c r="E53" s="96"/>
      <c r="F53" s="59" t="s">
        <v>113</v>
      </c>
      <c r="G53" s="58" t="s">
        <v>114</v>
      </c>
      <c r="H53" s="83" t="s">
        <v>162</v>
      </c>
      <c r="I53" s="113" t="s">
        <v>82</v>
      </c>
      <c r="J53" s="116">
        <v>45713</v>
      </c>
      <c r="K53" s="98">
        <v>9</v>
      </c>
      <c r="L53" s="99"/>
      <c r="M53" s="100" t="s">
        <v>84</v>
      </c>
      <c r="N53" s="101">
        <f>IF(J53&gt;0,WEEKNUM(J53,1),"")</f>
        <v>9</v>
      </c>
      <c r="O53" s="102" t="str">
        <f>IF(J53&gt;0,TEXT(J53,"Mmm-yy"),"")</f>
        <v>Feb-25</v>
      </c>
    </row>
    <row r="54" spans="1:15" x14ac:dyDescent="0.35">
      <c r="A54" s="93" t="s">
        <v>40</v>
      </c>
      <c r="B54" s="94">
        <v>2001</v>
      </c>
      <c r="C54" s="94">
        <v>6</v>
      </c>
      <c r="D54" s="95" t="s">
        <v>152</v>
      </c>
      <c r="E54" s="96"/>
      <c r="F54" s="59" t="s">
        <v>113</v>
      </c>
      <c r="G54" s="58" t="s">
        <v>153</v>
      </c>
      <c r="H54" s="83" t="s">
        <v>163</v>
      </c>
      <c r="I54" s="113" t="s">
        <v>82</v>
      </c>
      <c r="J54" s="116">
        <v>45714</v>
      </c>
      <c r="K54" s="98">
        <v>9</v>
      </c>
      <c r="L54" s="99"/>
      <c r="M54" s="100" t="s">
        <v>84</v>
      </c>
      <c r="N54" s="101">
        <f t="shared" si="10"/>
        <v>9</v>
      </c>
      <c r="O54" s="102" t="str">
        <f t="shared" si="11"/>
        <v>Feb-25</v>
      </c>
    </row>
    <row r="55" spans="1:15" x14ac:dyDescent="0.35">
      <c r="A55" s="93" t="s">
        <v>40</v>
      </c>
      <c r="B55" s="94">
        <v>6001</v>
      </c>
      <c r="C55" s="94">
        <v>6</v>
      </c>
      <c r="D55" s="95" t="s">
        <v>152</v>
      </c>
      <c r="E55" s="96"/>
      <c r="F55" s="59" t="s">
        <v>113</v>
      </c>
      <c r="G55" s="58" t="s">
        <v>114</v>
      </c>
      <c r="H55" s="83" t="s">
        <v>163</v>
      </c>
      <c r="I55" s="113" t="s">
        <v>82</v>
      </c>
      <c r="J55" s="116">
        <v>45715</v>
      </c>
      <c r="K55" s="98">
        <v>9</v>
      </c>
      <c r="L55" s="99"/>
      <c r="M55" s="100" t="s">
        <v>84</v>
      </c>
      <c r="N55" s="101">
        <f t="shared" si="10"/>
        <v>9</v>
      </c>
      <c r="O55" s="102" t="str">
        <f t="shared" si="11"/>
        <v>Feb-25</v>
      </c>
    </row>
    <row r="56" spans="1:15" x14ac:dyDescent="0.35">
      <c r="A56" s="103" t="s">
        <v>40</v>
      </c>
      <c r="B56" s="104">
        <v>10001</v>
      </c>
      <c r="C56" s="104">
        <v>6</v>
      </c>
      <c r="D56" s="105" t="s">
        <v>88</v>
      </c>
      <c r="E56" s="106"/>
      <c r="F56" s="77" t="s">
        <v>113</v>
      </c>
      <c r="G56" s="78" t="s">
        <v>114</v>
      </c>
      <c r="H56" s="84" t="s">
        <v>164</v>
      </c>
      <c r="I56" s="114" t="s">
        <v>82</v>
      </c>
      <c r="J56" s="117">
        <v>45716</v>
      </c>
      <c r="K56" s="108">
        <v>9</v>
      </c>
      <c r="L56" s="109"/>
      <c r="M56" s="110" t="s">
        <v>84</v>
      </c>
      <c r="N56" s="111">
        <f>IF(J56&gt;0,WEEKNUM(J56,1),"")</f>
        <v>9</v>
      </c>
      <c r="O56" s="112" t="str">
        <f t="shared" si="11"/>
        <v>Feb-25</v>
      </c>
    </row>
    <row r="57" spans="1:15" x14ac:dyDescent="0.35">
      <c r="A57" s="48" t="s">
        <v>40</v>
      </c>
      <c r="B57" s="49">
        <v>10001</v>
      </c>
      <c r="C57" s="49">
        <v>6</v>
      </c>
      <c r="D57" s="58" t="s">
        <v>88</v>
      </c>
      <c r="E57" s="58"/>
      <c r="F57" s="59" t="s">
        <v>113</v>
      </c>
      <c r="G57" s="58" t="s">
        <v>114</v>
      </c>
      <c r="H57" s="72" t="s">
        <v>162</v>
      </c>
      <c r="I57" s="48" t="s">
        <v>82</v>
      </c>
      <c r="J57" s="115">
        <v>45719</v>
      </c>
      <c r="K57" s="60">
        <v>9</v>
      </c>
      <c r="L57" s="58"/>
      <c r="M57" s="48" t="s">
        <v>84</v>
      </c>
      <c r="N57" s="61">
        <f t="shared" ref="N57:N62" si="12">IF(J57&gt;0,WEEKNUM(J57,1),"")</f>
        <v>10</v>
      </c>
      <c r="O57" s="62" t="str">
        <f t="shared" si="11"/>
        <v>Mar-25</v>
      </c>
    </row>
    <row r="58" spans="1:15" x14ac:dyDescent="0.35">
      <c r="A58" s="48" t="s">
        <v>40</v>
      </c>
      <c r="B58" s="49">
        <v>10001</v>
      </c>
      <c r="C58" s="49">
        <v>6</v>
      </c>
      <c r="D58" s="58" t="s">
        <v>88</v>
      </c>
      <c r="E58" s="58"/>
      <c r="F58" s="59" t="s">
        <v>113</v>
      </c>
      <c r="G58" s="58" t="s">
        <v>114</v>
      </c>
      <c r="H58" s="72" t="s">
        <v>162</v>
      </c>
      <c r="I58" s="48" t="s">
        <v>82</v>
      </c>
      <c r="J58" s="115">
        <v>45720</v>
      </c>
      <c r="K58" s="60">
        <v>9</v>
      </c>
      <c r="L58" s="58"/>
      <c r="M58" s="48" t="s">
        <v>84</v>
      </c>
      <c r="N58" s="61">
        <f>IF(J58&gt;0,WEEKNUM(J58,1),"")</f>
        <v>10</v>
      </c>
      <c r="O58" s="62" t="str">
        <f>IF(J58&gt;0,TEXT(J58,"Mmm-yy"),"")</f>
        <v>Mar-25</v>
      </c>
    </row>
    <row r="59" spans="1:15" x14ac:dyDescent="0.35">
      <c r="A59" s="48" t="s">
        <v>40</v>
      </c>
      <c r="B59" s="49">
        <v>10001</v>
      </c>
      <c r="C59" s="49">
        <v>6</v>
      </c>
      <c r="D59" s="58" t="s">
        <v>88</v>
      </c>
      <c r="E59" s="72"/>
      <c r="F59" s="59" t="s">
        <v>113</v>
      </c>
      <c r="G59" s="58" t="s">
        <v>114</v>
      </c>
      <c r="H59" s="72" t="s">
        <v>162</v>
      </c>
      <c r="I59" s="48" t="s">
        <v>82</v>
      </c>
      <c r="J59" s="115">
        <v>45721</v>
      </c>
      <c r="K59" s="60">
        <v>4</v>
      </c>
      <c r="L59" s="58"/>
      <c r="M59" s="48" t="s">
        <v>84</v>
      </c>
      <c r="N59" s="61">
        <f>IF(J59&gt;0,WEEKNUM(J59,1),"")</f>
        <v>10</v>
      </c>
      <c r="O59" s="62" t="str">
        <f>IF(J59&gt;0,TEXT(J59,"Mmm-yy"),"")</f>
        <v>Mar-25</v>
      </c>
    </row>
    <row r="60" spans="1:15" x14ac:dyDescent="0.35">
      <c r="A60" s="48" t="s">
        <v>40</v>
      </c>
      <c r="B60" s="49">
        <v>2001</v>
      </c>
      <c r="C60" s="49">
        <v>6</v>
      </c>
      <c r="D60" s="58" t="s">
        <v>165</v>
      </c>
      <c r="E60" s="58"/>
      <c r="F60" s="59" t="s">
        <v>113</v>
      </c>
      <c r="G60" s="58" t="s">
        <v>110</v>
      </c>
      <c r="H60" s="72" t="s">
        <v>166</v>
      </c>
      <c r="I60" s="48" t="s">
        <v>82</v>
      </c>
      <c r="J60" s="115">
        <v>45721</v>
      </c>
      <c r="K60" s="60">
        <v>4</v>
      </c>
      <c r="L60" s="58"/>
      <c r="M60" s="48" t="s">
        <v>84</v>
      </c>
      <c r="N60" s="61">
        <f t="shared" si="12"/>
        <v>10</v>
      </c>
      <c r="O60" s="62" t="str">
        <f t="shared" si="11"/>
        <v>Mar-25</v>
      </c>
    </row>
    <row r="61" spans="1:15" x14ac:dyDescent="0.35">
      <c r="A61" s="48" t="s">
        <v>40</v>
      </c>
      <c r="B61" s="49">
        <v>11001</v>
      </c>
      <c r="C61" s="49">
        <v>6</v>
      </c>
      <c r="D61" s="58" t="s">
        <v>165</v>
      </c>
      <c r="E61" s="72"/>
      <c r="F61" s="59" t="s">
        <v>113</v>
      </c>
      <c r="G61" s="58" t="s">
        <v>110</v>
      </c>
      <c r="H61" s="72" t="s">
        <v>167</v>
      </c>
      <c r="I61" s="48" t="s">
        <v>82</v>
      </c>
      <c r="J61" s="115">
        <v>45721</v>
      </c>
      <c r="K61" s="60">
        <v>1</v>
      </c>
      <c r="L61" s="58"/>
      <c r="M61" s="48" t="s">
        <v>84</v>
      </c>
      <c r="N61" s="61">
        <f>IF(J61&gt;0,WEEKNUM(J61,1),"")</f>
        <v>10</v>
      </c>
      <c r="O61" s="62" t="str">
        <f>IF(J61&gt;0,TEXT(J61,"Mmm-yy"),"")</f>
        <v>Mar-25</v>
      </c>
    </row>
    <row r="62" spans="1:15" ht="29" x14ac:dyDescent="0.35">
      <c r="A62" s="48" t="s">
        <v>40</v>
      </c>
      <c r="B62" s="49">
        <v>1001</v>
      </c>
      <c r="C62" s="49">
        <v>6</v>
      </c>
      <c r="D62" s="58" t="s">
        <v>168</v>
      </c>
      <c r="E62" s="58"/>
      <c r="F62" s="59" t="s">
        <v>113</v>
      </c>
      <c r="G62" s="58" t="s">
        <v>110</v>
      </c>
      <c r="H62" s="72" t="s">
        <v>169</v>
      </c>
      <c r="I62" s="48" t="s">
        <v>82</v>
      </c>
      <c r="J62" s="115">
        <v>45722</v>
      </c>
      <c r="K62" s="60">
        <v>9</v>
      </c>
      <c r="L62" s="58"/>
      <c r="M62" s="48" t="s">
        <v>84</v>
      </c>
      <c r="N62" s="61">
        <f t="shared" si="12"/>
        <v>10</v>
      </c>
      <c r="O62" s="62" t="str">
        <f t="shared" si="11"/>
        <v>Mar-25</v>
      </c>
    </row>
    <row r="63" spans="1:15" ht="29" x14ac:dyDescent="0.35">
      <c r="A63" s="93" t="s">
        <v>40</v>
      </c>
      <c r="B63" s="94">
        <v>1001</v>
      </c>
      <c r="C63" s="94">
        <v>23</v>
      </c>
      <c r="D63" s="95" t="s">
        <v>168</v>
      </c>
      <c r="E63" s="96"/>
      <c r="F63" s="59" t="s">
        <v>113</v>
      </c>
      <c r="G63" s="58" t="s">
        <v>110</v>
      </c>
      <c r="H63" s="83" t="s">
        <v>169</v>
      </c>
      <c r="I63" s="113" t="s">
        <v>82</v>
      </c>
      <c r="J63" s="116">
        <v>45727</v>
      </c>
      <c r="K63" s="98">
        <v>4</v>
      </c>
      <c r="L63" s="99"/>
      <c r="M63" s="100" t="s">
        <v>170</v>
      </c>
      <c r="N63" s="101">
        <f t="shared" ref="N63:N71" si="13">IF(J63&gt;0,WEEKNUM(J63,1),"")</f>
        <v>11</v>
      </c>
      <c r="O63" s="102" t="str">
        <f t="shared" si="11"/>
        <v>Mar-25</v>
      </c>
    </row>
    <row r="64" spans="1:15" x14ac:dyDescent="0.35">
      <c r="A64" s="93" t="s">
        <v>40</v>
      </c>
      <c r="B64" s="94">
        <v>2001</v>
      </c>
      <c r="C64" s="94">
        <v>28</v>
      </c>
      <c r="D64" s="95" t="s">
        <v>171</v>
      </c>
      <c r="E64" s="96"/>
      <c r="F64" s="59" t="s">
        <v>172</v>
      </c>
      <c r="G64" s="58" t="s">
        <v>110</v>
      </c>
      <c r="H64" s="83" t="s">
        <v>173</v>
      </c>
      <c r="I64" s="113" t="s">
        <v>82</v>
      </c>
      <c r="J64" s="116">
        <v>45727</v>
      </c>
      <c r="K64" s="98">
        <v>5</v>
      </c>
      <c r="L64" s="99"/>
      <c r="M64" s="100" t="s">
        <v>170</v>
      </c>
      <c r="N64" s="101">
        <f>IF(J64&gt;0,WEEKNUM(J64,1),"")</f>
        <v>11</v>
      </c>
      <c r="O64" s="102" t="str">
        <f>IF(J64&gt;0,TEXT(J64,"Mmm-yy"),"")</f>
        <v>Mar-25</v>
      </c>
    </row>
    <row r="65" spans="1:15" x14ac:dyDescent="0.35">
      <c r="A65" s="93" t="s">
        <v>40</v>
      </c>
      <c r="B65" s="94">
        <v>2001</v>
      </c>
      <c r="C65" s="94">
        <v>27</v>
      </c>
      <c r="D65" s="95" t="s">
        <v>174</v>
      </c>
      <c r="E65" s="96"/>
      <c r="F65" s="59" t="s">
        <v>113</v>
      </c>
      <c r="G65" s="58" t="s">
        <v>175</v>
      </c>
      <c r="H65" s="83" t="s">
        <v>176</v>
      </c>
      <c r="I65" s="113" t="s">
        <v>82</v>
      </c>
      <c r="J65" s="116">
        <v>45728</v>
      </c>
      <c r="K65" s="98">
        <v>1</v>
      </c>
      <c r="L65" s="99"/>
      <c r="M65" s="100" t="s">
        <v>170</v>
      </c>
      <c r="N65" s="101">
        <f>IF(J65&gt;0,WEEKNUM(J65,1),"")</f>
        <v>11</v>
      </c>
      <c r="O65" s="102" t="str">
        <f>IF(J65&gt;0,TEXT(J65,"Mmm-yy"),"")</f>
        <v>Mar-25</v>
      </c>
    </row>
    <row r="66" spans="1:15" x14ac:dyDescent="0.35">
      <c r="A66" s="93" t="s">
        <v>40</v>
      </c>
      <c r="B66" s="94">
        <v>2001</v>
      </c>
      <c r="C66" s="94">
        <v>6</v>
      </c>
      <c r="D66" s="95" t="s">
        <v>165</v>
      </c>
      <c r="E66" s="96"/>
      <c r="F66" s="59" t="s">
        <v>113</v>
      </c>
      <c r="G66" s="58" t="s">
        <v>110</v>
      </c>
      <c r="H66" s="83" t="s">
        <v>166</v>
      </c>
      <c r="I66" s="113" t="s">
        <v>82</v>
      </c>
      <c r="J66" s="116">
        <v>45728</v>
      </c>
      <c r="K66" s="98">
        <v>3</v>
      </c>
      <c r="L66" s="99"/>
      <c r="M66" s="100" t="s">
        <v>170</v>
      </c>
      <c r="N66" s="101">
        <f>IF(J66&gt;0,WEEKNUM(J66,1),"")</f>
        <v>11</v>
      </c>
      <c r="O66" s="102" t="str">
        <f>IF(J66&gt;0,TEXT(J66,"Mmm-yy"),"")</f>
        <v>Mar-25</v>
      </c>
    </row>
    <row r="67" spans="1:15" x14ac:dyDescent="0.35">
      <c r="A67" s="93" t="s">
        <v>40</v>
      </c>
      <c r="B67" s="94">
        <v>2001</v>
      </c>
      <c r="C67" s="94">
        <v>28</v>
      </c>
      <c r="D67" s="95" t="s">
        <v>171</v>
      </c>
      <c r="E67" s="96"/>
      <c r="F67" s="59" t="s">
        <v>172</v>
      </c>
      <c r="G67" s="58" t="s">
        <v>110</v>
      </c>
      <c r="H67" s="83" t="s">
        <v>173</v>
      </c>
      <c r="I67" s="113" t="s">
        <v>82</v>
      </c>
      <c r="J67" s="116">
        <v>45728</v>
      </c>
      <c r="K67" s="98">
        <v>5</v>
      </c>
      <c r="L67" s="99"/>
      <c r="M67" s="100" t="s">
        <v>170</v>
      </c>
      <c r="N67" s="101">
        <f>IF(J67&gt;0,WEEKNUM(J67,1),"")</f>
        <v>11</v>
      </c>
      <c r="O67" s="102" t="str">
        <f>IF(J67&gt;0,TEXT(J67,"Mmm-yy"),"")</f>
        <v>Mar-25</v>
      </c>
    </row>
    <row r="68" spans="1:15" x14ac:dyDescent="0.35">
      <c r="A68" s="93" t="s">
        <v>40</v>
      </c>
      <c r="B68" s="94">
        <v>2001</v>
      </c>
      <c r="C68" s="94">
        <v>6</v>
      </c>
      <c r="D68" s="95" t="s">
        <v>165</v>
      </c>
      <c r="E68" s="96"/>
      <c r="F68" s="59" t="s">
        <v>113</v>
      </c>
      <c r="G68" s="58" t="s">
        <v>110</v>
      </c>
      <c r="H68" s="83" t="s">
        <v>166</v>
      </c>
      <c r="I68" s="113" t="s">
        <v>82</v>
      </c>
      <c r="J68" s="116">
        <v>45729</v>
      </c>
      <c r="K68" s="98">
        <v>4</v>
      </c>
      <c r="L68" s="99"/>
      <c r="M68" s="100" t="s">
        <v>170</v>
      </c>
      <c r="N68" s="101">
        <f t="shared" si="13"/>
        <v>11</v>
      </c>
      <c r="O68" s="102" t="str">
        <f t="shared" si="11"/>
        <v>Mar-25</v>
      </c>
    </row>
    <row r="69" spans="1:15" ht="29" x14ac:dyDescent="0.35">
      <c r="A69" s="93" t="s">
        <v>40</v>
      </c>
      <c r="B69" s="94">
        <v>1001</v>
      </c>
      <c r="C69" s="94">
        <v>23</v>
      </c>
      <c r="D69" s="95" t="s">
        <v>168</v>
      </c>
      <c r="E69" s="96"/>
      <c r="F69" s="59" t="s">
        <v>113</v>
      </c>
      <c r="G69" s="58" t="s">
        <v>110</v>
      </c>
      <c r="H69" s="83" t="s">
        <v>169</v>
      </c>
      <c r="I69" s="113" t="s">
        <v>82</v>
      </c>
      <c r="J69" s="116">
        <v>45729</v>
      </c>
      <c r="K69" s="98">
        <v>5</v>
      </c>
      <c r="L69" s="99"/>
      <c r="M69" s="100" t="s">
        <v>170</v>
      </c>
      <c r="N69" s="101">
        <f>IF(J69&gt;0,WEEKNUM(J69,1),"")</f>
        <v>11</v>
      </c>
      <c r="O69" s="102" t="str">
        <f>IF(J69&gt;0,TEXT(J69,"Mmm-yy"),"")</f>
        <v>Mar-25</v>
      </c>
    </row>
    <row r="70" spans="1:15" x14ac:dyDescent="0.35">
      <c r="A70" s="93" t="s">
        <v>40</v>
      </c>
      <c r="B70" s="94">
        <v>10001</v>
      </c>
      <c r="C70" s="94" t="s">
        <v>177</v>
      </c>
      <c r="D70" s="95" t="s">
        <v>178</v>
      </c>
      <c r="E70" s="96"/>
      <c r="F70" s="59" t="s">
        <v>113</v>
      </c>
      <c r="G70" s="58" t="s">
        <v>179</v>
      </c>
      <c r="H70" s="83" t="s">
        <v>180</v>
      </c>
      <c r="I70" s="113" t="s">
        <v>82</v>
      </c>
      <c r="J70" s="116">
        <v>45730</v>
      </c>
      <c r="K70" s="98">
        <v>3.5</v>
      </c>
      <c r="L70" s="99"/>
      <c r="M70" s="100" t="s">
        <v>170</v>
      </c>
      <c r="N70" s="101">
        <f t="shared" si="13"/>
        <v>11</v>
      </c>
      <c r="O70" s="102" t="str">
        <f t="shared" si="11"/>
        <v>Mar-25</v>
      </c>
    </row>
    <row r="71" spans="1:15" x14ac:dyDescent="0.35">
      <c r="A71" s="93" t="s">
        <v>40</v>
      </c>
      <c r="B71" s="94">
        <v>2001</v>
      </c>
      <c r="C71" s="94">
        <v>28</v>
      </c>
      <c r="D71" s="95" t="s">
        <v>171</v>
      </c>
      <c r="E71" s="96"/>
      <c r="F71" s="59" t="s">
        <v>172</v>
      </c>
      <c r="G71" s="58" t="s">
        <v>110</v>
      </c>
      <c r="H71" s="83" t="s">
        <v>173</v>
      </c>
      <c r="I71" s="113" t="s">
        <v>82</v>
      </c>
      <c r="J71" s="116">
        <v>45730</v>
      </c>
      <c r="K71" s="98">
        <v>3.5</v>
      </c>
      <c r="L71" s="99"/>
      <c r="M71" s="100" t="s">
        <v>170</v>
      </c>
      <c r="N71" s="101">
        <f t="shared" si="13"/>
        <v>11</v>
      </c>
      <c r="O71" s="102" t="str">
        <f t="shared" si="11"/>
        <v>Mar-25</v>
      </c>
    </row>
    <row r="72" spans="1:15" x14ac:dyDescent="0.35">
      <c r="A72" s="103" t="s">
        <v>40</v>
      </c>
      <c r="B72" s="104">
        <v>2001</v>
      </c>
      <c r="C72" s="104">
        <v>23</v>
      </c>
      <c r="D72" s="105" t="s">
        <v>168</v>
      </c>
      <c r="E72" s="106"/>
      <c r="F72" s="77" t="s">
        <v>113</v>
      </c>
      <c r="G72" s="78" t="s">
        <v>110</v>
      </c>
      <c r="H72" s="84" t="s">
        <v>181</v>
      </c>
      <c r="I72" s="114" t="s">
        <v>82</v>
      </c>
      <c r="J72" s="117">
        <v>45730</v>
      </c>
      <c r="K72" s="108">
        <v>2</v>
      </c>
      <c r="L72" s="109"/>
      <c r="M72" s="110" t="s">
        <v>170</v>
      </c>
      <c r="N72" s="111">
        <f>IF(J72&gt;0,WEEKNUM(J72,1),"")</f>
        <v>11</v>
      </c>
      <c r="O72" s="112" t="str">
        <f>IF(J72&gt;0,TEXT(J72,"Mmm-yy"),"")</f>
        <v>Mar-25</v>
      </c>
    </row>
    <row r="73" spans="1:15" ht="29" x14ac:dyDescent="0.35">
      <c r="A73" s="93" t="s">
        <v>40</v>
      </c>
      <c r="B73" s="94">
        <v>2001</v>
      </c>
      <c r="C73" s="94">
        <v>23</v>
      </c>
      <c r="D73" s="95" t="s">
        <v>168</v>
      </c>
      <c r="E73" s="96"/>
      <c r="F73" s="59" t="s">
        <v>113</v>
      </c>
      <c r="G73" s="58" t="s">
        <v>110</v>
      </c>
      <c r="H73" s="83" t="s">
        <v>182</v>
      </c>
      <c r="I73" s="113" t="s">
        <v>82</v>
      </c>
      <c r="J73" s="116">
        <v>45733</v>
      </c>
      <c r="K73" s="98">
        <v>7</v>
      </c>
      <c r="L73" s="99"/>
      <c r="M73" s="100" t="s">
        <v>170</v>
      </c>
      <c r="N73" s="101">
        <f>IF(J73&gt;0,WEEKNUM(J73,1),"")</f>
        <v>12</v>
      </c>
      <c r="O73" s="102" t="str">
        <f t="shared" ref="O73" si="14">IF(J73&gt;0,TEXT(J73,"Mmm-yy"),"")</f>
        <v>Mar-25</v>
      </c>
    </row>
    <row r="74" spans="1:15" ht="29" x14ac:dyDescent="0.35">
      <c r="A74" s="93" t="s">
        <v>40</v>
      </c>
      <c r="B74" s="94">
        <v>11001</v>
      </c>
      <c r="C74" s="94">
        <v>23</v>
      </c>
      <c r="D74" s="95" t="s">
        <v>168</v>
      </c>
      <c r="E74" s="96"/>
      <c r="F74" s="59" t="s">
        <v>113</v>
      </c>
      <c r="G74" s="58" t="s">
        <v>110</v>
      </c>
      <c r="H74" s="83" t="s">
        <v>183</v>
      </c>
      <c r="I74" s="113" t="s">
        <v>82</v>
      </c>
      <c r="J74" s="116">
        <v>45733</v>
      </c>
      <c r="K74" s="98">
        <v>2</v>
      </c>
      <c r="L74" s="99"/>
      <c r="M74" s="100" t="s">
        <v>170</v>
      </c>
      <c r="N74" s="101">
        <f>IF(J74&gt;0,WEEKNUM(J74,1),"")</f>
        <v>12</v>
      </c>
      <c r="O74" s="102" t="str">
        <f>IF(J74&gt;0,TEXT(J74,"Mmm-yy"),"")</f>
        <v>Mar-25</v>
      </c>
    </row>
    <row r="75" spans="1:15" ht="29" x14ac:dyDescent="0.35">
      <c r="A75" s="93" t="s">
        <v>40</v>
      </c>
      <c r="B75" s="94">
        <v>1001</v>
      </c>
      <c r="C75" s="94">
        <v>23</v>
      </c>
      <c r="D75" s="95" t="s">
        <v>168</v>
      </c>
      <c r="E75" s="96"/>
      <c r="F75" s="59" t="s">
        <v>113</v>
      </c>
      <c r="G75" s="58" t="s">
        <v>110</v>
      </c>
      <c r="H75" s="83" t="s">
        <v>169</v>
      </c>
      <c r="I75" s="113" t="s">
        <v>82</v>
      </c>
      <c r="J75" s="116">
        <v>45734</v>
      </c>
      <c r="K75" s="98">
        <v>4</v>
      </c>
      <c r="L75" s="99"/>
      <c r="M75" s="100" t="s">
        <v>170</v>
      </c>
      <c r="N75" s="101">
        <f t="shared" ref="N75" si="15">IF(J75&gt;0,WEEKNUM(J75,1),"")</f>
        <v>12</v>
      </c>
      <c r="O75" s="102" t="str">
        <f t="shared" ref="O75" si="16">IF(J75&gt;0,TEXT(J75,"Mmm-yy"),"")</f>
        <v>Mar-25</v>
      </c>
    </row>
    <row r="76" spans="1:15" x14ac:dyDescent="0.35">
      <c r="A76" s="93" t="s">
        <v>40</v>
      </c>
      <c r="B76" s="94">
        <v>11001</v>
      </c>
      <c r="C76" s="94">
        <v>23</v>
      </c>
      <c r="D76" s="95" t="s">
        <v>168</v>
      </c>
      <c r="E76" s="96"/>
      <c r="F76" s="59" t="s">
        <v>113</v>
      </c>
      <c r="G76" s="58" t="s">
        <v>110</v>
      </c>
      <c r="H76" s="83" t="s">
        <v>181</v>
      </c>
      <c r="I76" s="113" t="s">
        <v>82</v>
      </c>
      <c r="J76" s="116">
        <v>45734</v>
      </c>
      <c r="K76" s="98">
        <v>0.5</v>
      </c>
      <c r="L76" s="99"/>
      <c r="M76" s="100" t="s">
        <v>170</v>
      </c>
      <c r="N76" s="101">
        <f>IF(J76&gt;0,WEEKNUM(J76,1),"")</f>
        <v>12</v>
      </c>
      <c r="O76" s="102" t="str">
        <f>IF(J76&gt;0,TEXT(J76,"Mmm-yy"),"")</f>
        <v>Mar-25</v>
      </c>
    </row>
    <row r="77" spans="1:15" x14ac:dyDescent="0.35">
      <c r="A77" s="93" t="s">
        <v>40</v>
      </c>
      <c r="B77" s="94">
        <v>10001</v>
      </c>
      <c r="C77" s="94">
        <v>6</v>
      </c>
      <c r="D77" s="95" t="s">
        <v>88</v>
      </c>
      <c r="E77" s="96"/>
      <c r="F77" s="59" t="s">
        <v>113</v>
      </c>
      <c r="G77" s="58" t="s">
        <v>153</v>
      </c>
      <c r="H77" s="83" t="s">
        <v>162</v>
      </c>
      <c r="I77" s="113" t="s">
        <v>82</v>
      </c>
      <c r="J77" s="116">
        <v>45734</v>
      </c>
      <c r="K77" s="98">
        <v>4.5</v>
      </c>
      <c r="L77" s="99"/>
      <c r="M77" s="100" t="s">
        <v>170</v>
      </c>
      <c r="N77" s="101">
        <f>IF(J77&gt;0,WEEKNUM(J77,1),"")</f>
        <v>12</v>
      </c>
      <c r="O77" s="102" t="str">
        <f>IF(J77&gt;0,TEXT(J77,"Mmm-yy"),"")</f>
        <v>Mar-25</v>
      </c>
    </row>
    <row r="78" spans="1:15" ht="29" x14ac:dyDescent="0.35">
      <c r="A78" s="93" t="s">
        <v>40</v>
      </c>
      <c r="B78" s="94">
        <v>11001</v>
      </c>
      <c r="C78" s="94">
        <v>23</v>
      </c>
      <c r="D78" s="95" t="s">
        <v>168</v>
      </c>
      <c r="E78" s="96"/>
      <c r="F78" s="59" t="s">
        <v>113</v>
      </c>
      <c r="G78" s="58" t="s">
        <v>110</v>
      </c>
      <c r="H78" s="83" t="s">
        <v>183</v>
      </c>
      <c r="I78" s="113" t="s">
        <v>82</v>
      </c>
      <c r="J78" s="116">
        <v>45735</v>
      </c>
      <c r="K78" s="98">
        <v>1</v>
      </c>
      <c r="L78" s="99"/>
      <c r="M78" s="100" t="s">
        <v>170</v>
      </c>
      <c r="N78" s="101">
        <f>IF(J78&gt;0,WEEKNUM(J78,1),"")</f>
        <v>12</v>
      </c>
      <c r="O78" s="102" t="str">
        <f>IF(J78&gt;0,TEXT(J78,"Mmm-yy"),"")</f>
        <v>Mar-25</v>
      </c>
    </row>
    <row r="79" spans="1:15" x14ac:dyDescent="0.35">
      <c r="A79" s="93" t="s">
        <v>40</v>
      </c>
      <c r="B79" s="94">
        <v>10001</v>
      </c>
      <c r="C79" s="94">
        <v>6</v>
      </c>
      <c r="D79" s="95" t="s">
        <v>88</v>
      </c>
      <c r="E79" s="96"/>
      <c r="F79" s="59" t="s">
        <v>113</v>
      </c>
      <c r="G79" s="58" t="s">
        <v>184</v>
      </c>
      <c r="H79" s="83" t="s">
        <v>185</v>
      </c>
      <c r="I79" s="113" t="s">
        <v>82</v>
      </c>
      <c r="J79" s="116">
        <v>45735</v>
      </c>
      <c r="K79" s="98">
        <v>8</v>
      </c>
      <c r="L79" s="99"/>
      <c r="M79" s="100" t="s">
        <v>170</v>
      </c>
      <c r="N79" s="101">
        <f>IF(J79&gt;0,WEEKNUM(J79,1),"")</f>
        <v>12</v>
      </c>
      <c r="O79" s="102" t="str">
        <f>IF(J79&gt;0,TEXT(J79,"Mmm-yy"),"")</f>
        <v>Mar-25</v>
      </c>
    </row>
    <row r="80" spans="1:15" x14ac:dyDescent="0.35">
      <c r="A80" s="93" t="s">
        <v>40</v>
      </c>
      <c r="B80" s="94">
        <v>2001</v>
      </c>
      <c r="C80" s="94">
        <v>6</v>
      </c>
      <c r="D80" s="95" t="s">
        <v>165</v>
      </c>
      <c r="E80" s="96"/>
      <c r="F80" s="59" t="s">
        <v>113</v>
      </c>
      <c r="G80" s="58" t="s">
        <v>110</v>
      </c>
      <c r="H80" s="83" t="s">
        <v>166</v>
      </c>
      <c r="I80" s="113" t="s">
        <v>82</v>
      </c>
      <c r="J80" s="116">
        <v>45736</v>
      </c>
      <c r="K80" s="98">
        <v>5</v>
      </c>
      <c r="L80" s="99"/>
      <c r="M80" s="100" t="s">
        <v>170</v>
      </c>
      <c r="N80" s="101">
        <f>IF(J80&gt;0,WEEKNUM(J80,1),"")</f>
        <v>12</v>
      </c>
      <c r="O80" s="102" t="str">
        <f>IF(J80&gt;0,TEXT(J80,"Mmm-yy"),"")</f>
        <v>Mar-25</v>
      </c>
    </row>
    <row r="81" spans="1:15" x14ac:dyDescent="0.35">
      <c r="A81" s="93" t="s">
        <v>40</v>
      </c>
      <c r="B81" s="94">
        <v>1001</v>
      </c>
      <c r="C81" s="94">
        <v>23</v>
      </c>
      <c r="D81" s="95" t="s">
        <v>168</v>
      </c>
      <c r="E81" s="96"/>
      <c r="F81" s="59" t="s">
        <v>113</v>
      </c>
      <c r="G81" s="58" t="s">
        <v>110</v>
      </c>
      <c r="H81" s="83" t="s">
        <v>186</v>
      </c>
      <c r="I81" s="113" t="s">
        <v>82</v>
      </c>
      <c r="J81" s="116">
        <v>45736</v>
      </c>
      <c r="K81" s="98">
        <v>4</v>
      </c>
      <c r="L81" s="99"/>
      <c r="M81" s="100" t="s">
        <v>170</v>
      </c>
      <c r="N81" s="101">
        <f t="shared" ref="N81" si="17">IF(J81&gt;0,WEEKNUM(J81,1),"")</f>
        <v>12</v>
      </c>
      <c r="O81" s="102" t="str">
        <f t="shared" ref="O81" si="18">IF(J81&gt;0,TEXT(J81,"Mmm-yy"),"")</f>
        <v>Mar-25</v>
      </c>
    </row>
    <row r="82" spans="1:15" x14ac:dyDescent="0.35">
      <c r="A82" s="93" t="s">
        <v>40</v>
      </c>
      <c r="B82" s="94">
        <v>10001</v>
      </c>
      <c r="C82" s="94">
        <v>6</v>
      </c>
      <c r="D82" s="95" t="s">
        <v>88</v>
      </c>
      <c r="E82" s="96"/>
      <c r="F82" s="59" t="s">
        <v>113</v>
      </c>
      <c r="G82" s="58" t="s">
        <v>184</v>
      </c>
      <c r="H82" s="83" t="s">
        <v>187</v>
      </c>
      <c r="I82" s="113" t="s">
        <v>82</v>
      </c>
      <c r="J82" s="116">
        <v>45737</v>
      </c>
      <c r="K82" s="98">
        <v>9</v>
      </c>
      <c r="L82" s="99"/>
      <c r="M82" s="100" t="s">
        <v>170</v>
      </c>
      <c r="N82" s="101">
        <f>IF(J82&gt;0,WEEKNUM(J82,1),"")</f>
        <v>12</v>
      </c>
      <c r="O82" s="102" t="str">
        <f>IF(J82&gt;0,TEXT(J82,"Mmm-yy"),"")</f>
        <v>Mar-25</v>
      </c>
    </row>
    <row r="83" spans="1:15" x14ac:dyDescent="0.35">
      <c r="A83" s="93" t="s">
        <v>40</v>
      </c>
      <c r="B83" s="94">
        <v>12001</v>
      </c>
      <c r="C83" s="94">
        <v>6</v>
      </c>
      <c r="D83" s="95" t="s">
        <v>129</v>
      </c>
      <c r="E83" s="96"/>
      <c r="F83" s="59"/>
      <c r="G83" s="58"/>
      <c r="H83" s="83"/>
      <c r="I83" s="113" t="s">
        <v>83</v>
      </c>
      <c r="J83" s="116">
        <v>45733</v>
      </c>
      <c r="K83" s="98">
        <v>9</v>
      </c>
      <c r="L83" s="99"/>
      <c r="M83" s="100" t="s">
        <v>170</v>
      </c>
      <c r="N83" s="101">
        <f>IF(J83&gt;0,WEEKNUM(J83,1),"")</f>
        <v>12</v>
      </c>
      <c r="O83" s="102" t="s">
        <v>188</v>
      </c>
    </row>
    <row r="84" spans="1:15" x14ac:dyDescent="0.35">
      <c r="A84" s="103" t="s">
        <v>40</v>
      </c>
      <c r="B84" s="104">
        <v>10001</v>
      </c>
      <c r="C84" s="104">
        <v>15</v>
      </c>
      <c r="D84" s="105" t="s">
        <v>88</v>
      </c>
      <c r="E84" s="106"/>
      <c r="F84" s="77"/>
      <c r="G84" s="77"/>
      <c r="H84" s="84" t="s">
        <v>189</v>
      </c>
      <c r="I84" s="114" t="s">
        <v>83</v>
      </c>
      <c r="J84" s="107">
        <v>45734</v>
      </c>
      <c r="K84" s="108">
        <v>3.5</v>
      </c>
      <c r="L84" s="118"/>
      <c r="M84" s="110" t="s">
        <v>170</v>
      </c>
      <c r="N84" s="111">
        <f t="shared" ref="N84:N91" si="19">IF(J84&gt;0,WEEKNUM(J84,1),"")</f>
        <v>12</v>
      </c>
      <c r="O84" s="112" t="str">
        <f t="shared" ref="O84:O91" si="20">IF(J84&gt;0,TEXT(J84,"Mmm-yy"),"")</f>
        <v>Mar-25</v>
      </c>
    </row>
    <row r="85" spans="1:15" x14ac:dyDescent="0.35">
      <c r="A85" s="93" t="s">
        <v>40</v>
      </c>
      <c r="B85" s="94">
        <v>2001</v>
      </c>
      <c r="C85" s="94">
        <v>6</v>
      </c>
      <c r="D85" s="95" t="s">
        <v>165</v>
      </c>
      <c r="E85" s="96"/>
      <c r="F85" s="59" t="s">
        <v>113</v>
      </c>
      <c r="G85" s="58" t="s">
        <v>110</v>
      </c>
      <c r="H85" s="83" t="s">
        <v>166</v>
      </c>
      <c r="I85" s="113" t="s">
        <v>82</v>
      </c>
      <c r="J85" s="116">
        <v>45740</v>
      </c>
      <c r="K85" s="98">
        <v>5</v>
      </c>
      <c r="L85" s="99"/>
      <c r="M85" s="100" t="s">
        <v>170</v>
      </c>
      <c r="N85" s="101">
        <f t="shared" si="19"/>
        <v>13</v>
      </c>
      <c r="O85" s="102" t="str">
        <f t="shared" si="20"/>
        <v>Mar-25</v>
      </c>
    </row>
    <row r="86" spans="1:15" x14ac:dyDescent="0.35">
      <c r="A86" s="93" t="s">
        <v>40</v>
      </c>
      <c r="B86" s="94">
        <v>11001</v>
      </c>
      <c r="C86" s="94">
        <v>23</v>
      </c>
      <c r="D86" s="95" t="s">
        <v>168</v>
      </c>
      <c r="E86" s="96"/>
      <c r="F86" s="59" t="s">
        <v>113</v>
      </c>
      <c r="G86" s="58" t="s">
        <v>110</v>
      </c>
      <c r="H86" s="83" t="s">
        <v>181</v>
      </c>
      <c r="I86" s="113" t="s">
        <v>82</v>
      </c>
      <c r="J86" s="116">
        <v>45740</v>
      </c>
      <c r="K86" s="98">
        <v>0.5</v>
      </c>
      <c r="L86" s="99"/>
      <c r="M86" s="100" t="s">
        <v>170</v>
      </c>
      <c r="N86" s="101">
        <f t="shared" si="19"/>
        <v>13</v>
      </c>
      <c r="O86" s="102" t="str">
        <f t="shared" si="20"/>
        <v>Mar-25</v>
      </c>
    </row>
    <row r="87" spans="1:15" x14ac:dyDescent="0.35">
      <c r="A87" s="93" t="s">
        <v>40</v>
      </c>
      <c r="B87" s="94">
        <v>10001</v>
      </c>
      <c r="C87" s="94">
        <v>6</v>
      </c>
      <c r="D87" s="95" t="s">
        <v>88</v>
      </c>
      <c r="E87" s="96"/>
      <c r="F87" s="59" t="s">
        <v>113</v>
      </c>
      <c r="G87" s="58" t="s">
        <v>184</v>
      </c>
      <c r="H87" s="83" t="s">
        <v>190</v>
      </c>
      <c r="I87" s="113" t="s">
        <v>82</v>
      </c>
      <c r="J87" s="116">
        <v>45740</v>
      </c>
      <c r="K87" s="98">
        <v>3.5</v>
      </c>
      <c r="L87" s="99"/>
      <c r="M87" s="100" t="s">
        <v>170</v>
      </c>
      <c r="N87" s="101">
        <f t="shared" si="19"/>
        <v>13</v>
      </c>
      <c r="O87" s="102" t="str">
        <f t="shared" si="20"/>
        <v>Mar-25</v>
      </c>
    </row>
    <row r="88" spans="1:15" x14ac:dyDescent="0.35">
      <c r="A88" s="93" t="s">
        <v>40</v>
      </c>
      <c r="B88" s="94">
        <v>10001</v>
      </c>
      <c r="C88" s="94">
        <v>6</v>
      </c>
      <c r="D88" s="95" t="s">
        <v>88</v>
      </c>
      <c r="E88" s="96"/>
      <c r="F88" s="59" t="s">
        <v>113</v>
      </c>
      <c r="G88" s="58" t="s">
        <v>184</v>
      </c>
      <c r="H88" s="83" t="s">
        <v>191</v>
      </c>
      <c r="I88" s="113" t="s">
        <v>82</v>
      </c>
      <c r="J88" s="116">
        <v>45741</v>
      </c>
      <c r="K88" s="98">
        <v>9</v>
      </c>
      <c r="L88" s="99"/>
      <c r="M88" s="100" t="s">
        <v>170</v>
      </c>
      <c r="N88" s="101">
        <f t="shared" si="19"/>
        <v>13</v>
      </c>
      <c r="O88" s="102" t="str">
        <f t="shared" si="20"/>
        <v>Mar-25</v>
      </c>
    </row>
    <row r="89" spans="1:15" x14ac:dyDescent="0.35">
      <c r="A89" s="93" t="s">
        <v>40</v>
      </c>
      <c r="B89" s="94">
        <v>10001</v>
      </c>
      <c r="C89" s="94">
        <v>6</v>
      </c>
      <c r="D89" s="95" t="s">
        <v>88</v>
      </c>
      <c r="E89" s="96"/>
      <c r="F89" s="59" t="s">
        <v>113</v>
      </c>
      <c r="G89" s="58" t="s">
        <v>192</v>
      </c>
      <c r="H89" s="83" t="s">
        <v>193</v>
      </c>
      <c r="I89" s="113" t="s">
        <v>82</v>
      </c>
      <c r="J89" s="116">
        <v>45742</v>
      </c>
      <c r="K89" s="98">
        <v>5</v>
      </c>
      <c r="L89" s="99"/>
      <c r="M89" s="100" t="s">
        <v>170</v>
      </c>
      <c r="N89" s="101">
        <f t="shared" si="19"/>
        <v>13</v>
      </c>
      <c r="O89" s="102" t="str">
        <f t="shared" si="20"/>
        <v>Mar-25</v>
      </c>
    </row>
    <row r="90" spans="1:15" ht="29" x14ac:dyDescent="0.35">
      <c r="A90" s="93" t="s">
        <v>97</v>
      </c>
      <c r="B90" s="94">
        <v>4001</v>
      </c>
      <c r="C90" s="94">
        <v>23</v>
      </c>
      <c r="D90" s="95" t="s">
        <v>250</v>
      </c>
      <c r="E90" s="96"/>
      <c r="F90" s="59" t="s">
        <v>113</v>
      </c>
      <c r="G90" s="58" t="s">
        <v>110</v>
      </c>
      <c r="H90" s="83" t="s">
        <v>194</v>
      </c>
      <c r="I90" s="113" t="s">
        <v>82</v>
      </c>
      <c r="J90" s="116">
        <v>45742</v>
      </c>
      <c r="K90" s="98">
        <v>4</v>
      </c>
      <c r="L90" s="99"/>
      <c r="M90" s="100" t="s">
        <v>170</v>
      </c>
      <c r="N90" s="101">
        <f t="shared" si="19"/>
        <v>13</v>
      </c>
      <c r="O90" s="102" t="str">
        <f t="shared" si="20"/>
        <v>Mar-25</v>
      </c>
    </row>
    <row r="91" spans="1:15" x14ac:dyDescent="0.35">
      <c r="A91" s="93" t="s">
        <v>40</v>
      </c>
      <c r="B91" s="94">
        <v>10001</v>
      </c>
      <c r="C91" s="94">
        <v>6</v>
      </c>
      <c r="D91" s="95" t="s">
        <v>88</v>
      </c>
      <c r="E91" s="96"/>
      <c r="F91" s="59" t="s">
        <v>113</v>
      </c>
      <c r="G91" s="58" t="s">
        <v>192</v>
      </c>
      <c r="H91" s="83" t="s">
        <v>195</v>
      </c>
      <c r="I91" s="113" t="s">
        <v>82</v>
      </c>
      <c r="J91" s="116">
        <v>45743</v>
      </c>
      <c r="K91" s="98">
        <v>5</v>
      </c>
      <c r="L91" s="99"/>
      <c r="M91" s="100" t="s">
        <v>170</v>
      </c>
      <c r="N91" s="101">
        <f t="shared" si="19"/>
        <v>13</v>
      </c>
      <c r="O91" s="102" t="str">
        <f t="shared" si="20"/>
        <v>Mar-25</v>
      </c>
    </row>
    <row r="92" spans="1:15" x14ac:dyDescent="0.35">
      <c r="A92" s="93" t="s">
        <v>40</v>
      </c>
      <c r="B92" s="94">
        <v>10001</v>
      </c>
      <c r="C92" s="94">
        <v>6</v>
      </c>
      <c r="D92" s="95" t="s">
        <v>88</v>
      </c>
      <c r="E92" s="96"/>
      <c r="F92" s="59" t="s">
        <v>113</v>
      </c>
      <c r="G92" s="58" t="s">
        <v>184</v>
      </c>
      <c r="H92" s="83" t="s">
        <v>196</v>
      </c>
      <c r="I92" s="113" t="s">
        <v>82</v>
      </c>
      <c r="J92" s="116">
        <v>45743</v>
      </c>
      <c r="K92" s="98">
        <v>4</v>
      </c>
      <c r="L92" s="99"/>
      <c r="M92" s="100" t="s">
        <v>170</v>
      </c>
      <c r="N92" s="101">
        <f>IF(J92&gt;0,WEEKNUM(J92,1),"")</f>
        <v>13</v>
      </c>
      <c r="O92" s="102" t="str">
        <f>IF(J92&gt;0,TEXT(J92,"Mmm-yy"),"")</f>
        <v>Mar-25</v>
      </c>
    </row>
    <row r="93" spans="1:15" x14ac:dyDescent="0.35">
      <c r="A93" s="93" t="s">
        <v>40</v>
      </c>
      <c r="B93" s="94">
        <v>10001</v>
      </c>
      <c r="C93" s="94">
        <v>6</v>
      </c>
      <c r="D93" s="95" t="s">
        <v>88</v>
      </c>
      <c r="E93" s="96"/>
      <c r="F93" s="59" t="s">
        <v>113</v>
      </c>
      <c r="G93" s="58" t="s">
        <v>192</v>
      </c>
      <c r="H93" s="83" t="s">
        <v>197</v>
      </c>
      <c r="I93" s="113" t="s">
        <v>82</v>
      </c>
      <c r="J93" s="116">
        <v>45744</v>
      </c>
      <c r="K93" s="98">
        <v>5</v>
      </c>
      <c r="L93" s="99"/>
      <c r="M93" s="100" t="s">
        <v>170</v>
      </c>
      <c r="N93" s="101">
        <f t="shared" ref="N93:N100" si="21">IF(J93&gt;0,WEEKNUM(J93,1),"")</f>
        <v>13</v>
      </c>
      <c r="O93" s="102" t="str">
        <f t="shared" ref="O93:O100" si="22">IF(J93&gt;0,TEXT(J93,"Mmm-yy"),"")</f>
        <v>Mar-25</v>
      </c>
    </row>
    <row r="94" spans="1:15" x14ac:dyDescent="0.35">
      <c r="A94" s="103" t="s">
        <v>40</v>
      </c>
      <c r="B94" s="104">
        <v>10001</v>
      </c>
      <c r="C94" s="104">
        <v>6</v>
      </c>
      <c r="D94" s="105" t="s">
        <v>88</v>
      </c>
      <c r="E94" s="106"/>
      <c r="F94" s="77" t="s">
        <v>113</v>
      </c>
      <c r="G94" s="78" t="s">
        <v>184</v>
      </c>
      <c r="H94" s="84" t="s">
        <v>198</v>
      </c>
      <c r="I94" s="114" t="s">
        <v>82</v>
      </c>
      <c r="J94" s="117">
        <v>45744</v>
      </c>
      <c r="K94" s="108">
        <v>4</v>
      </c>
      <c r="L94" s="109"/>
      <c r="M94" s="110" t="s">
        <v>170</v>
      </c>
      <c r="N94" s="111">
        <f t="shared" si="21"/>
        <v>13</v>
      </c>
      <c r="O94" s="112" t="str">
        <f t="shared" si="22"/>
        <v>Mar-25</v>
      </c>
    </row>
    <row r="95" spans="1:15" x14ac:dyDescent="0.35">
      <c r="A95" s="93" t="s">
        <v>40</v>
      </c>
      <c r="B95" s="94">
        <v>12001</v>
      </c>
      <c r="C95" s="94"/>
      <c r="D95" s="125" t="s">
        <v>129</v>
      </c>
      <c r="E95" s="96"/>
      <c r="F95" s="59"/>
      <c r="G95" s="58"/>
      <c r="H95" s="83"/>
      <c r="I95" s="113" t="s">
        <v>82</v>
      </c>
      <c r="J95" s="116">
        <v>45747</v>
      </c>
      <c r="K95" s="98">
        <v>9</v>
      </c>
      <c r="L95" s="99"/>
      <c r="M95" s="100" t="s">
        <v>170</v>
      </c>
      <c r="N95" s="101">
        <f t="shared" si="21"/>
        <v>14</v>
      </c>
      <c r="O95" s="102" t="str">
        <f t="shared" si="22"/>
        <v>Mar-25</v>
      </c>
    </row>
    <row r="96" spans="1:15" x14ac:dyDescent="0.35">
      <c r="A96" s="93" t="s">
        <v>40</v>
      </c>
      <c r="B96" s="94">
        <v>10001</v>
      </c>
      <c r="C96" s="94">
        <v>6</v>
      </c>
      <c r="D96" s="95" t="s">
        <v>88</v>
      </c>
      <c r="E96" s="96"/>
      <c r="F96" s="59" t="s">
        <v>113</v>
      </c>
      <c r="G96" s="58" t="s">
        <v>192</v>
      </c>
      <c r="H96" s="83" t="s">
        <v>199</v>
      </c>
      <c r="I96" s="113" t="s">
        <v>82</v>
      </c>
      <c r="J96" s="116">
        <v>45748</v>
      </c>
      <c r="K96" s="98">
        <v>9</v>
      </c>
      <c r="L96" s="99"/>
      <c r="M96" s="100" t="s">
        <v>170</v>
      </c>
      <c r="N96" s="101">
        <f t="shared" si="21"/>
        <v>14</v>
      </c>
      <c r="O96" s="102" t="str">
        <f t="shared" si="22"/>
        <v>Apr-25</v>
      </c>
    </row>
    <row r="97" spans="1:15" x14ac:dyDescent="0.35">
      <c r="A97" s="93" t="s">
        <v>40</v>
      </c>
      <c r="B97" s="94">
        <v>11001</v>
      </c>
      <c r="C97" s="94">
        <v>23</v>
      </c>
      <c r="D97" s="95" t="s">
        <v>250</v>
      </c>
      <c r="E97" s="96"/>
      <c r="F97" s="59" t="s">
        <v>113</v>
      </c>
      <c r="G97" s="58" t="s">
        <v>110</v>
      </c>
      <c r="H97" s="83" t="s">
        <v>200</v>
      </c>
      <c r="I97" s="113" t="s">
        <v>82</v>
      </c>
      <c r="J97" s="116">
        <v>45749</v>
      </c>
      <c r="K97" s="98">
        <v>2.5</v>
      </c>
      <c r="L97" s="99"/>
      <c r="M97" s="100" t="s">
        <v>170</v>
      </c>
      <c r="N97" s="101">
        <f t="shared" si="21"/>
        <v>14</v>
      </c>
      <c r="O97" s="102" t="str">
        <f t="shared" si="22"/>
        <v>Apr-25</v>
      </c>
    </row>
    <row r="98" spans="1:15" x14ac:dyDescent="0.35">
      <c r="A98" s="93" t="s">
        <v>40</v>
      </c>
      <c r="B98" s="94">
        <v>4001</v>
      </c>
      <c r="C98" s="94">
        <v>23</v>
      </c>
      <c r="D98" s="95" t="s">
        <v>168</v>
      </c>
      <c r="E98" s="96"/>
      <c r="F98" s="59" t="s">
        <v>113</v>
      </c>
      <c r="G98" s="58" t="s">
        <v>110</v>
      </c>
      <c r="H98" s="83" t="s">
        <v>201</v>
      </c>
      <c r="I98" s="113" t="s">
        <v>82</v>
      </c>
      <c r="J98" s="116">
        <v>45749</v>
      </c>
      <c r="K98" s="98">
        <v>4</v>
      </c>
      <c r="L98" s="99"/>
      <c r="M98" s="100" t="s">
        <v>170</v>
      </c>
      <c r="N98" s="101">
        <f t="shared" si="21"/>
        <v>14</v>
      </c>
      <c r="O98" s="102" t="str">
        <f t="shared" si="22"/>
        <v>Apr-25</v>
      </c>
    </row>
    <row r="99" spans="1:15" x14ac:dyDescent="0.35">
      <c r="A99" s="93" t="s">
        <v>40</v>
      </c>
      <c r="B99" s="94">
        <v>10001</v>
      </c>
      <c r="C99" s="94">
        <v>6</v>
      </c>
      <c r="D99" s="95" t="s">
        <v>88</v>
      </c>
      <c r="E99" s="96"/>
      <c r="F99" s="59" t="s">
        <v>113</v>
      </c>
      <c r="G99" s="58" t="s">
        <v>192</v>
      </c>
      <c r="H99" s="83" t="s">
        <v>199</v>
      </c>
      <c r="I99" s="113" t="s">
        <v>82</v>
      </c>
      <c r="J99" s="116">
        <v>45749</v>
      </c>
      <c r="K99" s="98">
        <v>2.5</v>
      </c>
      <c r="L99" s="99"/>
      <c r="M99" s="100" t="s">
        <v>170</v>
      </c>
      <c r="N99" s="101">
        <f t="shared" si="21"/>
        <v>14</v>
      </c>
      <c r="O99" s="102" t="str">
        <f t="shared" si="22"/>
        <v>Apr-25</v>
      </c>
    </row>
    <row r="100" spans="1:15" x14ac:dyDescent="0.35">
      <c r="A100" s="93" t="s">
        <v>40</v>
      </c>
      <c r="B100" s="94">
        <v>11001</v>
      </c>
      <c r="C100" s="94">
        <v>23</v>
      </c>
      <c r="D100" s="95" t="s">
        <v>250</v>
      </c>
      <c r="E100" s="96"/>
      <c r="F100" s="59" t="s">
        <v>113</v>
      </c>
      <c r="G100" s="58" t="s">
        <v>110</v>
      </c>
      <c r="H100" s="83" t="s">
        <v>202</v>
      </c>
      <c r="I100" s="113" t="s">
        <v>82</v>
      </c>
      <c r="J100" s="116">
        <v>45750</v>
      </c>
      <c r="K100" s="98">
        <v>2</v>
      </c>
      <c r="L100" s="99"/>
      <c r="M100" s="100" t="s">
        <v>170</v>
      </c>
      <c r="N100" s="101">
        <f t="shared" si="21"/>
        <v>14</v>
      </c>
      <c r="O100" s="102" t="str">
        <f t="shared" si="22"/>
        <v>Apr-25</v>
      </c>
    </row>
    <row r="101" spans="1:15" x14ac:dyDescent="0.35">
      <c r="A101" s="93" t="s">
        <v>40</v>
      </c>
      <c r="B101" s="94">
        <v>4001</v>
      </c>
      <c r="C101" s="94">
        <v>23</v>
      </c>
      <c r="D101" s="95" t="s">
        <v>168</v>
      </c>
      <c r="E101" s="96"/>
      <c r="F101" s="59" t="s">
        <v>113</v>
      </c>
      <c r="G101" s="58" t="s">
        <v>110</v>
      </c>
      <c r="H101" s="83" t="s">
        <v>203</v>
      </c>
      <c r="I101" s="113" t="s">
        <v>82</v>
      </c>
      <c r="J101" s="116">
        <v>45750</v>
      </c>
      <c r="K101" s="98">
        <v>2</v>
      </c>
      <c r="L101" s="99"/>
      <c r="M101" s="100" t="s">
        <v>170</v>
      </c>
      <c r="N101" s="101">
        <f>IF(J101&gt;0,WEEKNUM(J101,1),"")</f>
        <v>14</v>
      </c>
      <c r="O101" s="102" t="str">
        <f>IF(J101&gt;0,TEXT(J101,"Mmm-yy"),"")</f>
        <v>Apr-25</v>
      </c>
    </row>
    <row r="102" spans="1:15" x14ac:dyDescent="0.35">
      <c r="A102" s="93" t="s">
        <v>40</v>
      </c>
      <c r="B102" s="94">
        <v>10001</v>
      </c>
      <c r="C102" s="94">
        <v>6</v>
      </c>
      <c r="D102" s="95" t="s">
        <v>88</v>
      </c>
      <c r="E102" s="96"/>
      <c r="F102" s="59" t="s">
        <v>113</v>
      </c>
      <c r="G102" s="58" t="s">
        <v>192</v>
      </c>
      <c r="H102" s="83" t="s">
        <v>204</v>
      </c>
      <c r="I102" s="113" t="s">
        <v>82</v>
      </c>
      <c r="J102" s="116">
        <v>45750</v>
      </c>
      <c r="K102" s="98">
        <v>5</v>
      </c>
      <c r="L102" s="99"/>
      <c r="M102" s="100" t="s">
        <v>170</v>
      </c>
      <c r="N102" s="101">
        <f>IF(J102&gt;0,WEEKNUM(J102,1),"")</f>
        <v>14</v>
      </c>
      <c r="O102" s="102" t="str">
        <f>IF(J102&gt;0,TEXT(J102,"Mmm-yy"),"")</f>
        <v>Apr-25</v>
      </c>
    </row>
    <row r="103" spans="1:15" x14ac:dyDescent="0.35">
      <c r="A103" s="93" t="s">
        <v>40</v>
      </c>
      <c r="B103" s="94">
        <v>10001</v>
      </c>
      <c r="C103" s="94">
        <v>6</v>
      </c>
      <c r="D103" s="95" t="s">
        <v>205</v>
      </c>
      <c r="E103" s="96"/>
      <c r="F103" s="59" t="s">
        <v>113</v>
      </c>
      <c r="G103" s="58" t="s">
        <v>179</v>
      </c>
      <c r="H103" s="83" t="s">
        <v>206</v>
      </c>
      <c r="I103" s="113" t="s">
        <v>82</v>
      </c>
      <c r="J103" s="116">
        <v>45751</v>
      </c>
      <c r="K103" s="98">
        <v>1</v>
      </c>
      <c r="L103" s="99"/>
      <c r="M103" s="100" t="s">
        <v>170</v>
      </c>
      <c r="N103" s="101">
        <f t="shared" ref="N103:N112" si="23">IF(J103&gt;0,WEEKNUM(J103,1),"")</f>
        <v>14</v>
      </c>
      <c r="O103" s="102" t="str">
        <f t="shared" ref="O103:O112" si="24">IF(J103&gt;0,TEXT(J103,"Mmm-yy"),"")</f>
        <v>Apr-25</v>
      </c>
    </row>
    <row r="104" spans="1:15" x14ac:dyDescent="0.35">
      <c r="A104" s="93" t="s">
        <v>40</v>
      </c>
      <c r="B104" s="94">
        <v>4001</v>
      </c>
      <c r="C104" s="94">
        <v>23</v>
      </c>
      <c r="D104" s="95" t="s">
        <v>168</v>
      </c>
      <c r="E104" s="96"/>
      <c r="F104" s="59" t="s">
        <v>113</v>
      </c>
      <c r="G104" s="58" t="s">
        <v>110</v>
      </c>
      <c r="H104" s="83" t="s">
        <v>207</v>
      </c>
      <c r="I104" s="113" t="s">
        <v>82</v>
      </c>
      <c r="J104" s="116">
        <v>45751</v>
      </c>
      <c r="K104" s="98">
        <v>2</v>
      </c>
      <c r="L104" s="99"/>
      <c r="M104" s="100" t="s">
        <v>170</v>
      </c>
      <c r="N104" s="101">
        <f>IF(J104&gt;0,WEEKNUM(J104,1),"")</f>
        <v>14</v>
      </c>
      <c r="O104" s="102" t="str">
        <f>IF(J104&gt;0,TEXT(J104,"Mmm-yy"),"")</f>
        <v>Apr-25</v>
      </c>
    </row>
    <row r="105" spans="1:15" x14ac:dyDescent="0.35">
      <c r="A105" s="103" t="s">
        <v>40</v>
      </c>
      <c r="B105" s="104">
        <v>10001</v>
      </c>
      <c r="C105" s="104">
        <v>6</v>
      </c>
      <c r="D105" s="105" t="s">
        <v>88</v>
      </c>
      <c r="E105" s="106"/>
      <c r="F105" s="77" t="s">
        <v>113</v>
      </c>
      <c r="G105" s="78" t="s">
        <v>192</v>
      </c>
      <c r="H105" s="84" t="s">
        <v>199</v>
      </c>
      <c r="I105" s="114" t="s">
        <v>82</v>
      </c>
      <c r="J105" s="117">
        <v>45751</v>
      </c>
      <c r="K105" s="108">
        <v>6</v>
      </c>
      <c r="L105" s="109"/>
      <c r="M105" s="110" t="s">
        <v>170</v>
      </c>
      <c r="N105" s="111">
        <f t="shared" si="23"/>
        <v>14</v>
      </c>
      <c r="O105" s="112" t="str">
        <f t="shared" si="24"/>
        <v>Apr-25</v>
      </c>
    </row>
    <row r="106" spans="1:15" ht="29" x14ac:dyDescent="0.35">
      <c r="A106" s="93" t="s">
        <v>40</v>
      </c>
      <c r="B106" s="94">
        <v>7001</v>
      </c>
      <c r="C106" s="94">
        <v>23</v>
      </c>
      <c r="D106" s="95" t="s">
        <v>168</v>
      </c>
      <c r="E106" s="96"/>
      <c r="F106" s="59" t="s">
        <v>113</v>
      </c>
      <c r="G106" s="58" t="s">
        <v>110</v>
      </c>
      <c r="H106" s="83" t="s">
        <v>208</v>
      </c>
      <c r="I106" s="113" t="s">
        <v>82</v>
      </c>
      <c r="J106" s="116">
        <v>45754</v>
      </c>
      <c r="K106" s="98">
        <v>2</v>
      </c>
      <c r="L106" s="99"/>
      <c r="M106" s="100" t="s">
        <v>170</v>
      </c>
      <c r="N106" s="101">
        <f t="shared" si="23"/>
        <v>15</v>
      </c>
      <c r="O106" s="102" t="str">
        <f t="shared" si="24"/>
        <v>Apr-25</v>
      </c>
    </row>
    <row r="107" spans="1:15" x14ac:dyDescent="0.35">
      <c r="A107" s="93" t="s">
        <v>40</v>
      </c>
      <c r="B107" s="94">
        <v>10001</v>
      </c>
      <c r="C107" s="94">
        <v>6</v>
      </c>
      <c r="D107" s="95" t="s">
        <v>88</v>
      </c>
      <c r="E107" s="96"/>
      <c r="F107" s="59" t="s">
        <v>113</v>
      </c>
      <c r="G107" s="58" t="s">
        <v>209</v>
      </c>
      <c r="H107" s="83" t="s">
        <v>210</v>
      </c>
      <c r="I107" s="113" t="s">
        <v>82</v>
      </c>
      <c r="J107" s="116">
        <v>45754</v>
      </c>
      <c r="K107" s="98">
        <v>7</v>
      </c>
      <c r="L107" s="99"/>
      <c r="M107" s="100" t="s">
        <v>170</v>
      </c>
      <c r="N107" s="101">
        <f t="shared" si="23"/>
        <v>15</v>
      </c>
      <c r="O107" s="102" t="str">
        <f t="shared" si="24"/>
        <v>Apr-25</v>
      </c>
    </row>
    <row r="108" spans="1:15" x14ac:dyDescent="0.35">
      <c r="A108" s="93" t="s">
        <v>40</v>
      </c>
      <c r="B108" s="94">
        <v>10001</v>
      </c>
      <c r="C108" s="94">
        <v>6</v>
      </c>
      <c r="D108" s="95" t="s">
        <v>88</v>
      </c>
      <c r="E108" s="96"/>
      <c r="F108" s="59" t="s">
        <v>113</v>
      </c>
      <c r="G108" s="58" t="s">
        <v>184</v>
      </c>
      <c r="H108" s="83" t="s">
        <v>211</v>
      </c>
      <c r="I108" s="113" t="s">
        <v>82</v>
      </c>
      <c r="J108" s="116">
        <v>45755</v>
      </c>
      <c r="K108" s="98">
        <v>3</v>
      </c>
      <c r="L108" s="99"/>
      <c r="M108" s="100" t="s">
        <v>170</v>
      </c>
      <c r="N108" s="101">
        <f t="shared" si="23"/>
        <v>15</v>
      </c>
      <c r="O108" s="102" t="str">
        <f t="shared" si="24"/>
        <v>Apr-25</v>
      </c>
    </row>
    <row r="109" spans="1:15" x14ac:dyDescent="0.35">
      <c r="A109" s="93" t="s">
        <v>40</v>
      </c>
      <c r="B109" s="94">
        <v>10001</v>
      </c>
      <c r="C109" s="94">
        <v>6</v>
      </c>
      <c r="D109" s="95" t="s">
        <v>88</v>
      </c>
      <c r="E109" s="96"/>
      <c r="F109" s="59" t="s">
        <v>113</v>
      </c>
      <c r="G109" s="58" t="s">
        <v>209</v>
      </c>
      <c r="H109" s="83" t="s">
        <v>212</v>
      </c>
      <c r="I109" s="113" t="s">
        <v>82</v>
      </c>
      <c r="J109" s="116">
        <v>45755</v>
      </c>
      <c r="K109" s="98">
        <v>4</v>
      </c>
      <c r="L109" s="99"/>
      <c r="M109" s="100" t="s">
        <v>170</v>
      </c>
      <c r="N109" s="101">
        <f>IF(J109&gt;0,WEEKNUM(J109,1),"")</f>
        <v>15</v>
      </c>
      <c r="O109" s="102" t="str">
        <f>IF(J109&gt;0,TEXT(J109,"Mmm-yy"),"")</f>
        <v>Apr-25</v>
      </c>
    </row>
    <row r="110" spans="1:15" x14ac:dyDescent="0.35">
      <c r="A110" s="93" t="s">
        <v>40</v>
      </c>
      <c r="B110" s="94">
        <v>4001</v>
      </c>
      <c r="C110" s="94">
        <v>23</v>
      </c>
      <c r="D110" s="95" t="s">
        <v>168</v>
      </c>
      <c r="E110" s="96"/>
      <c r="F110" s="59" t="s">
        <v>113</v>
      </c>
      <c r="G110" s="58" t="s">
        <v>110</v>
      </c>
      <c r="H110" s="83" t="s">
        <v>213</v>
      </c>
      <c r="I110" s="113" t="s">
        <v>82</v>
      </c>
      <c r="J110" s="116">
        <v>45755</v>
      </c>
      <c r="K110" s="98">
        <v>2</v>
      </c>
      <c r="L110" s="99"/>
      <c r="M110" s="100" t="s">
        <v>170</v>
      </c>
      <c r="N110" s="101">
        <f>IF(J110&gt;0,WEEKNUM(J110,1),"")</f>
        <v>15</v>
      </c>
      <c r="O110" s="102" t="str">
        <f>IF(J110&gt;0,TEXT(J110,"Mmm-yy"),"")</f>
        <v>Apr-25</v>
      </c>
    </row>
    <row r="111" spans="1:15" x14ac:dyDescent="0.35">
      <c r="A111" s="93" t="s">
        <v>40</v>
      </c>
      <c r="B111" s="94">
        <v>11001</v>
      </c>
      <c r="C111" s="94">
        <v>23</v>
      </c>
      <c r="D111" s="95" t="s">
        <v>250</v>
      </c>
      <c r="E111" s="96"/>
      <c r="F111" s="59" t="s">
        <v>113</v>
      </c>
      <c r="G111" s="58" t="s">
        <v>110</v>
      </c>
      <c r="H111" s="83" t="s">
        <v>214</v>
      </c>
      <c r="I111" s="113" t="s">
        <v>82</v>
      </c>
      <c r="J111" s="116">
        <v>45756</v>
      </c>
      <c r="K111" s="98">
        <v>2</v>
      </c>
      <c r="L111" s="99"/>
      <c r="M111" s="100" t="s">
        <v>170</v>
      </c>
      <c r="N111" s="101">
        <f t="shared" si="23"/>
        <v>15</v>
      </c>
      <c r="O111" s="102" t="str">
        <f t="shared" si="24"/>
        <v>Apr-25</v>
      </c>
    </row>
    <row r="112" spans="1:15" x14ac:dyDescent="0.35">
      <c r="A112" s="93" t="s">
        <v>40</v>
      </c>
      <c r="B112" s="94">
        <v>4001</v>
      </c>
      <c r="C112" s="94">
        <v>23</v>
      </c>
      <c r="D112" s="95" t="s">
        <v>168</v>
      </c>
      <c r="E112" s="96"/>
      <c r="F112" s="59" t="s">
        <v>113</v>
      </c>
      <c r="G112" s="58" t="s">
        <v>110</v>
      </c>
      <c r="H112" s="83" t="s">
        <v>215</v>
      </c>
      <c r="I112" s="113" t="s">
        <v>82</v>
      </c>
      <c r="J112" s="116">
        <v>45756</v>
      </c>
      <c r="K112" s="98">
        <v>2</v>
      </c>
      <c r="L112" s="99"/>
      <c r="M112" s="100" t="s">
        <v>170</v>
      </c>
      <c r="N112" s="101">
        <f t="shared" si="23"/>
        <v>15</v>
      </c>
      <c r="O112" s="102" t="str">
        <f t="shared" si="24"/>
        <v>Apr-25</v>
      </c>
    </row>
    <row r="113" spans="1:15" x14ac:dyDescent="0.35">
      <c r="A113" s="93" t="s">
        <v>40</v>
      </c>
      <c r="B113" s="94">
        <v>10001</v>
      </c>
      <c r="C113" s="94">
        <v>6</v>
      </c>
      <c r="D113" s="95" t="s">
        <v>88</v>
      </c>
      <c r="E113" s="96"/>
      <c r="F113" s="59" t="s">
        <v>113</v>
      </c>
      <c r="G113" s="58" t="s">
        <v>209</v>
      </c>
      <c r="H113" s="83" t="s">
        <v>212</v>
      </c>
      <c r="I113" s="113" t="s">
        <v>82</v>
      </c>
      <c r="J113" s="116">
        <v>45756</v>
      </c>
      <c r="K113" s="98">
        <v>5</v>
      </c>
      <c r="L113" s="99"/>
      <c r="M113" s="100" t="s">
        <v>170</v>
      </c>
      <c r="N113" s="101">
        <f>IF(J113&gt;0,WEEKNUM(J113,1),"")</f>
        <v>15</v>
      </c>
      <c r="O113" s="102" t="str">
        <f>IF(J113&gt;0,TEXT(J113,"Mmm-yy"),"")</f>
        <v>Apr-25</v>
      </c>
    </row>
    <row r="114" spans="1:15" x14ac:dyDescent="0.35">
      <c r="A114" s="93" t="s">
        <v>40</v>
      </c>
      <c r="B114" s="94">
        <v>11001</v>
      </c>
      <c r="C114" s="94">
        <v>23</v>
      </c>
      <c r="D114" s="95" t="s">
        <v>250</v>
      </c>
      <c r="E114" s="96"/>
      <c r="F114" s="59" t="s">
        <v>113</v>
      </c>
      <c r="G114" s="58" t="s">
        <v>110</v>
      </c>
      <c r="H114" s="83" t="s">
        <v>216</v>
      </c>
      <c r="I114" s="113" t="s">
        <v>82</v>
      </c>
      <c r="J114" s="116">
        <v>45757</v>
      </c>
      <c r="K114" s="98">
        <v>2</v>
      </c>
      <c r="L114" s="99"/>
      <c r="M114" s="100" t="s">
        <v>170</v>
      </c>
      <c r="N114" s="101">
        <f>IF(J114&gt;0,WEEKNUM(J114,1),"")</f>
        <v>15</v>
      </c>
      <c r="O114" s="102" t="str">
        <f>IF(J114&gt;0,TEXT(J114,"Mmm-yy"),"")</f>
        <v>Apr-25</v>
      </c>
    </row>
    <row r="115" spans="1:15" x14ac:dyDescent="0.35">
      <c r="A115" s="93" t="s">
        <v>40</v>
      </c>
      <c r="B115" s="94">
        <v>4001</v>
      </c>
      <c r="C115" s="94">
        <v>23</v>
      </c>
      <c r="D115" s="95" t="s">
        <v>168</v>
      </c>
      <c r="E115" s="96"/>
      <c r="F115" s="59" t="s">
        <v>113</v>
      </c>
      <c r="G115" s="58" t="s">
        <v>110</v>
      </c>
      <c r="H115" s="83" t="s">
        <v>217</v>
      </c>
      <c r="I115" s="113" t="s">
        <v>82</v>
      </c>
      <c r="J115" s="116">
        <v>45757</v>
      </c>
      <c r="K115" s="98">
        <v>2</v>
      </c>
      <c r="L115" s="99"/>
      <c r="M115" s="100" t="s">
        <v>170</v>
      </c>
      <c r="N115" s="101">
        <f t="shared" ref="N115:N146" si="25">IF(J115&gt;0,WEEKNUM(J115,1),"")</f>
        <v>15</v>
      </c>
      <c r="O115" s="102" t="str">
        <f t="shared" ref="O115:O117" si="26">IF(J115&gt;0,TEXT(J115,"Mmm-yy"),"")</f>
        <v>Apr-25</v>
      </c>
    </row>
    <row r="116" spans="1:15" x14ac:dyDescent="0.35">
      <c r="A116" s="93" t="s">
        <v>40</v>
      </c>
      <c r="B116" s="94">
        <v>10001</v>
      </c>
      <c r="C116" s="94">
        <v>6</v>
      </c>
      <c r="D116" s="95" t="s">
        <v>88</v>
      </c>
      <c r="E116" s="96"/>
      <c r="F116" s="59" t="s">
        <v>113</v>
      </c>
      <c r="G116" s="58" t="s">
        <v>184</v>
      </c>
      <c r="H116" s="83" t="s">
        <v>218</v>
      </c>
      <c r="I116" s="113" t="s">
        <v>82</v>
      </c>
      <c r="J116" s="116">
        <v>45757</v>
      </c>
      <c r="K116" s="98">
        <v>5</v>
      </c>
      <c r="L116" s="99"/>
      <c r="M116" s="100" t="s">
        <v>170</v>
      </c>
      <c r="N116" s="101">
        <f>IF(J116&gt;0,WEEKNUM(J116,1),"")</f>
        <v>15</v>
      </c>
      <c r="O116" s="102" t="str">
        <f>IF(J116&gt;0,TEXT(J116,"Mmm-yy"),"")</f>
        <v>Apr-25</v>
      </c>
    </row>
    <row r="117" spans="1:15" x14ac:dyDescent="0.35">
      <c r="A117" s="93" t="s">
        <v>40</v>
      </c>
      <c r="B117" s="94">
        <v>10001</v>
      </c>
      <c r="C117" s="94">
        <v>6</v>
      </c>
      <c r="D117" s="95" t="s">
        <v>88</v>
      </c>
      <c r="E117" s="96"/>
      <c r="F117" s="59" t="s">
        <v>113</v>
      </c>
      <c r="G117" s="58" t="s">
        <v>219</v>
      </c>
      <c r="H117" s="83" t="s">
        <v>220</v>
      </c>
      <c r="I117" s="113" t="s">
        <v>82</v>
      </c>
      <c r="J117" s="116">
        <v>45758</v>
      </c>
      <c r="K117" s="98">
        <v>4</v>
      </c>
      <c r="L117" s="99"/>
      <c r="M117" s="100" t="s">
        <v>170</v>
      </c>
      <c r="N117" s="101">
        <f t="shared" si="25"/>
        <v>15</v>
      </c>
      <c r="O117" s="102" t="str">
        <f t="shared" si="26"/>
        <v>Apr-25</v>
      </c>
    </row>
    <row r="118" spans="1:15" x14ac:dyDescent="0.35">
      <c r="A118" s="103" t="s">
        <v>40</v>
      </c>
      <c r="B118" s="104">
        <v>10001</v>
      </c>
      <c r="C118" s="104">
        <v>6</v>
      </c>
      <c r="D118" s="105" t="s">
        <v>88</v>
      </c>
      <c r="E118" s="106"/>
      <c r="F118" s="77" t="s">
        <v>113</v>
      </c>
      <c r="G118" s="78" t="s">
        <v>219</v>
      </c>
      <c r="H118" s="84" t="s">
        <v>221</v>
      </c>
      <c r="I118" s="114" t="s">
        <v>82</v>
      </c>
      <c r="J118" s="117">
        <v>45758</v>
      </c>
      <c r="K118" s="108">
        <v>5</v>
      </c>
      <c r="L118" s="118"/>
      <c r="M118" s="110" t="s">
        <v>170</v>
      </c>
      <c r="N118" s="111">
        <f t="shared" si="25"/>
        <v>15</v>
      </c>
      <c r="O118" s="112" t="str">
        <f>IF(J118&gt;0,TEXT(J118,"Mmm-yy"),"")</f>
        <v>Apr-25</v>
      </c>
    </row>
    <row r="119" spans="1:15" x14ac:dyDescent="0.35">
      <c r="A119" s="93" t="s">
        <v>40</v>
      </c>
      <c r="B119" s="94">
        <v>12001</v>
      </c>
      <c r="C119" s="94"/>
      <c r="D119" s="125" t="s">
        <v>222</v>
      </c>
      <c r="E119" s="96"/>
      <c r="F119" s="59"/>
      <c r="G119" s="59"/>
      <c r="H119" s="83"/>
      <c r="I119" s="113" t="s">
        <v>82</v>
      </c>
      <c r="J119" s="116">
        <v>45761</v>
      </c>
      <c r="K119" s="98">
        <v>9</v>
      </c>
      <c r="L119" s="99"/>
      <c r="M119" s="100" t="s">
        <v>170</v>
      </c>
      <c r="N119" s="101">
        <f t="shared" si="25"/>
        <v>16</v>
      </c>
      <c r="O119" s="102" t="str">
        <f t="shared" ref="O119:O146" si="27">IF(J119&gt;0,TEXT(J119,"Mmm-yy"),"")</f>
        <v>Apr-25</v>
      </c>
    </row>
    <row r="120" spans="1:15" x14ac:dyDescent="0.35">
      <c r="A120" s="93" t="s">
        <v>40</v>
      </c>
      <c r="B120" s="94">
        <v>10001</v>
      </c>
      <c r="C120" s="94">
        <v>6</v>
      </c>
      <c r="D120" s="95" t="s">
        <v>88</v>
      </c>
      <c r="E120" s="96"/>
      <c r="F120" s="120" t="s">
        <v>113</v>
      </c>
      <c r="G120" s="119" t="s">
        <v>184</v>
      </c>
      <c r="H120" s="121" t="s">
        <v>223</v>
      </c>
      <c r="I120" s="113" t="s">
        <v>82</v>
      </c>
      <c r="J120" s="116">
        <v>45762</v>
      </c>
      <c r="K120" s="98">
        <v>6</v>
      </c>
      <c r="L120" s="99"/>
      <c r="M120" s="100" t="s">
        <v>170</v>
      </c>
      <c r="N120" s="101">
        <f t="shared" si="25"/>
        <v>16</v>
      </c>
      <c r="O120" s="102" t="str">
        <f t="shared" si="27"/>
        <v>Apr-25</v>
      </c>
    </row>
    <row r="121" spans="1:15" x14ac:dyDescent="0.35">
      <c r="A121" s="93" t="s">
        <v>40</v>
      </c>
      <c r="B121" s="94">
        <v>4001</v>
      </c>
      <c r="C121" s="94">
        <v>23</v>
      </c>
      <c r="D121" s="95" t="s">
        <v>168</v>
      </c>
      <c r="E121" s="96"/>
      <c r="F121" s="120" t="s">
        <v>113</v>
      </c>
      <c r="G121" s="119" t="s">
        <v>110</v>
      </c>
      <c r="H121" s="121" t="s">
        <v>224</v>
      </c>
      <c r="I121" s="113" t="s">
        <v>82</v>
      </c>
      <c r="J121" s="116">
        <v>45762</v>
      </c>
      <c r="K121" s="98">
        <v>2.5</v>
      </c>
      <c r="L121" s="99"/>
      <c r="M121" s="100" t="s">
        <v>170</v>
      </c>
      <c r="N121" s="101">
        <f>IF(J121&gt;0,WEEKNUM(J121,1),"")</f>
        <v>16</v>
      </c>
      <c r="O121" s="102" t="str">
        <f>IF(J121&gt;0,TEXT(J121,"Mmm-yy"),"")</f>
        <v>Apr-25</v>
      </c>
    </row>
    <row r="122" spans="1:15" x14ac:dyDescent="0.35">
      <c r="A122" s="93" t="s">
        <v>40</v>
      </c>
      <c r="B122" s="94">
        <v>11001</v>
      </c>
      <c r="C122" s="94">
        <v>23</v>
      </c>
      <c r="D122" s="95" t="s">
        <v>250</v>
      </c>
      <c r="E122" s="96"/>
      <c r="F122" s="59" t="s">
        <v>113</v>
      </c>
      <c r="G122" s="58" t="s">
        <v>110</v>
      </c>
      <c r="H122" s="83" t="s">
        <v>225</v>
      </c>
      <c r="I122" s="113" t="s">
        <v>82</v>
      </c>
      <c r="J122" s="116">
        <v>45762</v>
      </c>
      <c r="K122" s="98">
        <v>0.5</v>
      </c>
      <c r="L122" s="99"/>
      <c r="M122" s="100" t="s">
        <v>170</v>
      </c>
      <c r="N122" s="101">
        <f>IF(J122&gt;0,WEEKNUM(J122,1),"")</f>
        <v>16</v>
      </c>
      <c r="O122" s="102" t="str">
        <f>IF(J122&gt;0,TEXT(J122,"Mmm-yy"),"")</f>
        <v>Apr-25</v>
      </c>
    </row>
    <row r="123" spans="1:15" x14ac:dyDescent="0.35">
      <c r="A123" s="93" t="s">
        <v>40</v>
      </c>
      <c r="B123" s="94">
        <v>10001</v>
      </c>
      <c r="C123" s="94">
        <v>6</v>
      </c>
      <c r="D123" s="95" t="s">
        <v>88</v>
      </c>
      <c r="E123" s="96"/>
      <c r="F123" s="59" t="s">
        <v>113</v>
      </c>
      <c r="G123" s="58" t="s">
        <v>184</v>
      </c>
      <c r="H123" s="83" t="s">
        <v>226</v>
      </c>
      <c r="I123" s="113" t="s">
        <v>82</v>
      </c>
      <c r="J123" s="116">
        <v>45763</v>
      </c>
      <c r="K123" s="98">
        <v>7</v>
      </c>
      <c r="L123" s="99"/>
      <c r="M123" s="100" t="s">
        <v>170</v>
      </c>
      <c r="N123" s="101">
        <f t="shared" si="25"/>
        <v>16</v>
      </c>
      <c r="O123" s="102" t="str">
        <f t="shared" si="27"/>
        <v>Apr-25</v>
      </c>
    </row>
    <row r="124" spans="1:15" x14ac:dyDescent="0.35">
      <c r="A124" s="93" t="s">
        <v>40</v>
      </c>
      <c r="B124" s="94">
        <v>4001</v>
      </c>
      <c r="C124" s="94">
        <v>23</v>
      </c>
      <c r="D124" s="95" t="s">
        <v>168</v>
      </c>
      <c r="E124" s="96"/>
      <c r="F124" s="120" t="s">
        <v>113</v>
      </c>
      <c r="G124" s="119" t="s">
        <v>110</v>
      </c>
      <c r="H124" s="121" t="s">
        <v>227</v>
      </c>
      <c r="I124" s="113" t="s">
        <v>82</v>
      </c>
      <c r="J124" s="116">
        <v>45763</v>
      </c>
      <c r="K124" s="98">
        <v>2</v>
      </c>
      <c r="L124" s="99"/>
      <c r="M124" s="100" t="s">
        <v>170</v>
      </c>
      <c r="N124" s="101">
        <f>IF(J124&gt;0,WEEKNUM(J124,1),"")</f>
        <v>16</v>
      </c>
      <c r="O124" s="102" t="str">
        <f>IF(J124&gt;0,TEXT(J124,"Mmm-yy"),"")</f>
        <v>Apr-25</v>
      </c>
    </row>
    <row r="125" spans="1:15" x14ac:dyDescent="0.35">
      <c r="A125" s="93" t="s">
        <v>40</v>
      </c>
      <c r="B125" s="94">
        <v>4001</v>
      </c>
      <c r="C125" s="94">
        <v>23</v>
      </c>
      <c r="D125" s="95" t="s">
        <v>168</v>
      </c>
      <c r="E125" s="96"/>
      <c r="F125" s="120" t="s">
        <v>113</v>
      </c>
      <c r="G125" s="119" t="s">
        <v>110</v>
      </c>
      <c r="H125" s="121" t="s">
        <v>228</v>
      </c>
      <c r="I125" s="113" t="s">
        <v>82</v>
      </c>
      <c r="J125" s="116">
        <v>45764</v>
      </c>
      <c r="K125" s="98">
        <v>4</v>
      </c>
      <c r="L125" s="99"/>
      <c r="M125" s="100" t="s">
        <v>170</v>
      </c>
      <c r="N125" s="101">
        <f>IF(J125&gt;0,WEEKNUM(J125,1),"")</f>
        <v>16</v>
      </c>
      <c r="O125" s="102" t="str">
        <f>IF(J125&gt;0,TEXT(J125,"Mmm-yy"),"")</f>
        <v>Apr-25</v>
      </c>
    </row>
    <row r="126" spans="1:15" x14ac:dyDescent="0.35">
      <c r="A126" s="93" t="s">
        <v>40</v>
      </c>
      <c r="B126" s="94">
        <v>11001</v>
      </c>
      <c r="C126" s="94">
        <v>23</v>
      </c>
      <c r="D126" s="95" t="s">
        <v>250</v>
      </c>
      <c r="E126" s="96"/>
      <c r="F126" s="59" t="s">
        <v>113</v>
      </c>
      <c r="G126" s="58" t="s">
        <v>110</v>
      </c>
      <c r="H126" s="83" t="s">
        <v>225</v>
      </c>
      <c r="I126" s="113" t="s">
        <v>82</v>
      </c>
      <c r="J126" s="116">
        <v>45764</v>
      </c>
      <c r="K126" s="98">
        <v>0.5</v>
      </c>
      <c r="L126" s="99"/>
      <c r="M126" s="100" t="s">
        <v>170</v>
      </c>
      <c r="N126" s="101">
        <f>IF(J126&gt;0,WEEKNUM(J126,1),"")</f>
        <v>16</v>
      </c>
      <c r="O126" s="102" t="str">
        <f>IF(J126&gt;0,TEXT(J126,"Mmm-yy"),"")</f>
        <v>Apr-25</v>
      </c>
    </row>
    <row r="127" spans="1:15" x14ac:dyDescent="0.35">
      <c r="A127" s="93" t="s">
        <v>40</v>
      </c>
      <c r="B127" s="94">
        <v>10001</v>
      </c>
      <c r="C127" s="94">
        <v>6</v>
      </c>
      <c r="D127" s="95" t="s">
        <v>88</v>
      </c>
      <c r="E127" s="96"/>
      <c r="F127" s="59" t="s">
        <v>113</v>
      </c>
      <c r="G127" s="58" t="s">
        <v>209</v>
      </c>
      <c r="H127" s="83" t="s">
        <v>229</v>
      </c>
      <c r="I127" s="113" t="s">
        <v>82</v>
      </c>
      <c r="J127" s="116">
        <v>45764</v>
      </c>
      <c r="K127" s="98">
        <v>4.5</v>
      </c>
      <c r="L127" s="99"/>
      <c r="M127" s="100" t="s">
        <v>170</v>
      </c>
      <c r="N127" s="101">
        <f>IF(J127&gt;0,WEEKNUM(J127,1),"")</f>
        <v>16</v>
      </c>
      <c r="O127" s="102" t="str">
        <f>IF(J127&gt;0,TEXT(J127,"Mmm-yy"),"")</f>
        <v>Apr-25</v>
      </c>
    </row>
    <row r="128" spans="1:15" x14ac:dyDescent="0.35">
      <c r="A128" s="93" t="s">
        <v>40</v>
      </c>
      <c r="B128" s="94">
        <v>4001</v>
      </c>
      <c r="C128" s="94">
        <v>23</v>
      </c>
      <c r="D128" s="95" t="s">
        <v>88</v>
      </c>
      <c r="E128" s="96"/>
      <c r="F128" s="59" t="s">
        <v>113</v>
      </c>
      <c r="G128" s="58" t="s">
        <v>184</v>
      </c>
      <c r="H128" s="83" t="s">
        <v>230</v>
      </c>
      <c r="I128" s="113" t="s">
        <v>82</v>
      </c>
      <c r="J128" s="116">
        <v>45765</v>
      </c>
      <c r="K128" s="98">
        <v>5</v>
      </c>
      <c r="L128" s="99"/>
      <c r="M128" s="100" t="s">
        <v>170</v>
      </c>
      <c r="N128" s="101">
        <f>IF(J128&gt;0,WEEKNUM(J128,1),"")</f>
        <v>16</v>
      </c>
      <c r="O128" s="102" t="str">
        <f>IF(J128&gt;0,TEXT(J128,"Mmm-yy"),"")</f>
        <v>Apr-25</v>
      </c>
    </row>
    <row r="129" spans="1:15" x14ac:dyDescent="0.35">
      <c r="A129" s="103" t="s">
        <v>40</v>
      </c>
      <c r="B129" s="104">
        <v>10001</v>
      </c>
      <c r="C129" s="104">
        <v>6</v>
      </c>
      <c r="D129" s="105" t="s">
        <v>88</v>
      </c>
      <c r="E129" s="106"/>
      <c r="F129" s="77" t="s">
        <v>113</v>
      </c>
      <c r="G129" s="78" t="s">
        <v>219</v>
      </c>
      <c r="H129" s="84" t="s">
        <v>231</v>
      </c>
      <c r="I129" s="114" t="s">
        <v>82</v>
      </c>
      <c r="J129" s="117">
        <v>45765</v>
      </c>
      <c r="K129" s="108">
        <v>4</v>
      </c>
      <c r="L129" s="109"/>
      <c r="M129" s="110" t="s">
        <v>170</v>
      </c>
      <c r="N129" s="111">
        <f t="shared" si="25"/>
        <v>16</v>
      </c>
      <c r="O129" s="112" t="str">
        <f t="shared" si="27"/>
        <v>Apr-25</v>
      </c>
    </row>
    <row r="130" spans="1:15" x14ac:dyDescent="0.35">
      <c r="A130" s="93" t="s">
        <v>40</v>
      </c>
      <c r="B130" s="94">
        <v>10001</v>
      </c>
      <c r="C130" s="94">
        <v>6</v>
      </c>
      <c r="D130" s="95" t="s">
        <v>88</v>
      </c>
      <c r="E130" s="96"/>
      <c r="F130" s="59" t="s">
        <v>113</v>
      </c>
      <c r="G130" s="58" t="s">
        <v>184</v>
      </c>
      <c r="H130" s="83" t="s">
        <v>232</v>
      </c>
      <c r="I130" s="113" t="s">
        <v>82</v>
      </c>
      <c r="J130" s="116">
        <v>45768</v>
      </c>
      <c r="K130" s="98">
        <v>7.5</v>
      </c>
      <c r="L130" s="99"/>
      <c r="M130" s="100" t="s">
        <v>170</v>
      </c>
      <c r="N130" s="101">
        <f t="shared" si="25"/>
        <v>17</v>
      </c>
      <c r="O130" s="102" t="str">
        <f t="shared" si="27"/>
        <v>Apr-25</v>
      </c>
    </row>
    <row r="131" spans="1:15" x14ac:dyDescent="0.35">
      <c r="A131" s="93" t="s">
        <v>40</v>
      </c>
      <c r="B131" s="94">
        <v>10001</v>
      </c>
      <c r="C131" s="94">
        <v>6</v>
      </c>
      <c r="D131" s="95" t="s">
        <v>88</v>
      </c>
      <c r="E131" s="96"/>
      <c r="F131" s="120" t="s">
        <v>113</v>
      </c>
      <c r="G131" s="119" t="s">
        <v>179</v>
      </c>
      <c r="H131" s="121" t="s">
        <v>233</v>
      </c>
      <c r="I131" s="113" t="s">
        <v>82</v>
      </c>
      <c r="J131" s="116">
        <v>45768</v>
      </c>
      <c r="K131" s="98">
        <v>1.5</v>
      </c>
      <c r="L131" s="99"/>
      <c r="M131" s="100" t="s">
        <v>170</v>
      </c>
      <c r="N131" s="101">
        <f t="shared" si="25"/>
        <v>17</v>
      </c>
      <c r="O131" s="102" t="str">
        <f t="shared" si="27"/>
        <v>Apr-25</v>
      </c>
    </row>
    <row r="132" spans="1:15" x14ac:dyDescent="0.35">
      <c r="A132" s="93" t="s">
        <v>40</v>
      </c>
      <c r="B132" s="94">
        <v>4001</v>
      </c>
      <c r="C132" s="94">
        <v>23</v>
      </c>
      <c r="D132" s="95" t="s">
        <v>168</v>
      </c>
      <c r="E132" s="96"/>
      <c r="F132" s="120" t="s">
        <v>113</v>
      </c>
      <c r="G132" s="119" t="s">
        <v>110</v>
      </c>
      <c r="H132" s="121" t="s">
        <v>234</v>
      </c>
      <c r="I132" s="113" t="s">
        <v>82</v>
      </c>
      <c r="J132" s="116">
        <v>45769</v>
      </c>
      <c r="K132" s="98">
        <v>4</v>
      </c>
      <c r="L132" s="99"/>
      <c r="M132" s="100" t="s">
        <v>170</v>
      </c>
      <c r="N132" s="101">
        <f>IF(J132&gt;0,WEEKNUM(J132,1),"")</f>
        <v>17</v>
      </c>
      <c r="O132" s="102" t="str">
        <f>IF(J132&gt;0,TEXT(J132,"Mmm-yy"),"")</f>
        <v>Apr-25</v>
      </c>
    </row>
    <row r="133" spans="1:15" x14ac:dyDescent="0.35">
      <c r="A133" s="93" t="s">
        <v>40</v>
      </c>
      <c r="B133" s="94">
        <v>2001</v>
      </c>
      <c r="C133" s="94">
        <v>37</v>
      </c>
      <c r="D133" s="95" t="s">
        <v>235</v>
      </c>
      <c r="E133" s="96"/>
      <c r="F133" s="59" t="s">
        <v>113</v>
      </c>
      <c r="G133" s="58" t="s">
        <v>236</v>
      </c>
      <c r="H133" s="83" t="s">
        <v>237</v>
      </c>
      <c r="I133" s="113" t="s">
        <v>82</v>
      </c>
      <c r="J133" s="116">
        <v>45769</v>
      </c>
      <c r="K133" s="98">
        <v>5</v>
      </c>
      <c r="L133" s="99"/>
      <c r="M133" s="100" t="s">
        <v>170</v>
      </c>
      <c r="N133" s="101">
        <f>IF(J133&gt;0,WEEKNUM(J133,1),"")</f>
        <v>17</v>
      </c>
      <c r="O133" s="102" t="str">
        <f>IF(J133&gt;0,TEXT(J133,"Mmm-yy"),"")</f>
        <v>Apr-25</v>
      </c>
    </row>
    <row r="134" spans="1:15" x14ac:dyDescent="0.35">
      <c r="A134" s="93" t="s">
        <v>40</v>
      </c>
      <c r="B134" s="94">
        <v>2001</v>
      </c>
      <c r="C134" s="94">
        <v>6</v>
      </c>
      <c r="D134" s="95" t="s">
        <v>235</v>
      </c>
      <c r="E134" s="96"/>
      <c r="F134" s="59" t="s">
        <v>113</v>
      </c>
      <c r="G134" s="58" t="s">
        <v>184</v>
      </c>
      <c r="H134" s="83" t="s">
        <v>238</v>
      </c>
      <c r="I134" s="113" t="s">
        <v>82</v>
      </c>
      <c r="J134" s="116">
        <v>45770</v>
      </c>
      <c r="K134" s="98">
        <v>1</v>
      </c>
      <c r="L134" s="99"/>
      <c r="M134" s="100" t="s">
        <v>170</v>
      </c>
      <c r="N134" s="101">
        <f t="shared" si="25"/>
        <v>17</v>
      </c>
      <c r="O134" s="102" t="str">
        <f t="shared" si="27"/>
        <v>Apr-25</v>
      </c>
    </row>
    <row r="135" spans="1:15" x14ac:dyDescent="0.35">
      <c r="A135" s="93" t="s">
        <v>40</v>
      </c>
      <c r="B135" s="94">
        <v>4001</v>
      </c>
      <c r="C135" s="94">
        <v>6</v>
      </c>
      <c r="D135" s="95" t="s">
        <v>88</v>
      </c>
      <c r="E135" s="96"/>
      <c r="F135" s="120" t="s">
        <v>113</v>
      </c>
      <c r="G135" s="119" t="s">
        <v>179</v>
      </c>
      <c r="H135" s="121" t="s">
        <v>239</v>
      </c>
      <c r="I135" s="113" t="s">
        <v>82</v>
      </c>
      <c r="J135" s="116">
        <v>45770</v>
      </c>
      <c r="K135" s="98">
        <v>1</v>
      </c>
      <c r="L135" s="99"/>
      <c r="M135" s="100" t="s">
        <v>170</v>
      </c>
      <c r="N135" s="101">
        <f>IF(J135&gt;0,WEEKNUM(J135,1),"")</f>
        <v>17</v>
      </c>
      <c r="O135" s="102" t="str">
        <f>IF(J135&gt;0,TEXT(J135,"Mmm-yy"),"")</f>
        <v>Apr-25</v>
      </c>
    </row>
    <row r="136" spans="1:15" x14ac:dyDescent="0.35">
      <c r="A136" s="93" t="s">
        <v>40</v>
      </c>
      <c r="B136" s="94">
        <v>11001</v>
      </c>
      <c r="C136" s="94">
        <v>23</v>
      </c>
      <c r="D136" s="95" t="s">
        <v>250</v>
      </c>
      <c r="E136" s="96"/>
      <c r="F136" s="120" t="s">
        <v>113</v>
      </c>
      <c r="G136" s="119" t="s">
        <v>110</v>
      </c>
      <c r="H136" s="121" t="s">
        <v>240</v>
      </c>
      <c r="I136" s="113" t="s">
        <v>82</v>
      </c>
      <c r="J136" s="116">
        <v>45770</v>
      </c>
      <c r="K136" s="98">
        <v>1</v>
      </c>
      <c r="L136" s="99"/>
      <c r="M136" s="100" t="s">
        <v>170</v>
      </c>
      <c r="N136" s="101">
        <f>IF(J136&gt;0,WEEKNUM(J136,1),"")</f>
        <v>17</v>
      </c>
      <c r="O136" s="102" t="str">
        <f t="shared" ref="O136:O140" si="28">IF(J136&gt;0,TEXT(J136,"Mmm-yy"),"")</f>
        <v>Apr-25</v>
      </c>
    </row>
    <row r="137" spans="1:15" x14ac:dyDescent="0.35">
      <c r="A137" s="93" t="s">
        <v>40</v>
      </c>
      <c r="B137" s="94">
        <v>10001</v>
      </c>
      <c r="C137" s="94">
        <v>6</v>
      </c>
      <c r="D137" s="95" t="s">
        <v>88</v>
      </c>
      <c r="E137" s="96"/>
      <c r="F137" s="59" t="s">
        <v>113</v>
      </c>
      <c r="G137" s="58" t="s">
        <v>209</v>
      </c>
      <c r="H137" s="83" t="s">
        <v>241</v>
      </c>
      <c r="I137" s="113" t="s">
        <v>82</v>
      </c>
      <c r="J137" s="116">
        <v>45770</v>
      </c>
      <c r="K137" s="98">
        <v>6</v>
      </c>
      <c r="L137" s="99"/>
      <c r="M137" s="100" t="s">
        <v>170</v>
      </c>
      <c r="N137" s="101">
        <f>IF(J137&gt;0,WEEKNUM(J137,1),"")</f>
        <v>17</v>
      </c>
      <c r="O137" s="102" t="str">
        <f t="shared" si="28"/>
        <v>Apr-25</v>
      </c>
    </row>
    <row r="138" spans="1:15" x14ac:dyDescent="0.35">
      <c r="A138" s="93" t="s">
        <v>40</v>
      </c>
      <c r="B138" s="94">
        <v>11001</v>
      </c>
      <c r="C138" s="94">
        <v>23</v>
      </c>
      <c r="D138" s="95" t="s">
        <v>250</v>
      </c>
      <c r="E138" s="96"/>
      <c r="F138" s="59" t="s">
        <v>113</v>
      </c>
      <c r="G138" s="58" t="s">
        <v>110</v>
      </c>
      <c r="H138" s="83" t="s">
        <v>225</v>
      </c>
      <c r="I138" s="113" t="s">
        <v>82</v>
      </c>
      <c r="J138" s="116">
        <v>45771</v>
      </c>
      <c r="K138" s="98">
        <v>1</v>
      </c>
      <c r="L138" s="99"/>
      <c r="M138" s="100" t="s">
        <v>170</v>
      </c>
      <c r="N138" s="101">
        <f>IF(J138&gt;0,WEEKNUM(J138,1),"")</f>
        <v>17</v>
      </c>
      <c r="O138" s="102" t="str">
        <f t="shared" si="28"/>
        <v>Apr-25</v>
      </c>
    </row>
    <row r="139" spans="1:15" x14ac:dyDescent="0.35">
      <c r="A139" s="93" t="s">
        <v>40</v>
      </c>
      <c r="B139" s="94">
        <v>4001</v>
      </c>
      <c r="C139" s="94">
        <v>23</v>
      </c>
      <c r="D139" s="95" t="s">
        <v>168</v>
      </c>
      <c r="E139" s="96"/>
      <c r="F139" s="120" t="s">
        <v>113</v>
      </c>
      <c r="G139" s="119" t="s">
        <v>110</v>
      </c>
      <c r="H139" s="121" t="s">
        <v>242</v>
      </c>
      <c r="I139" s="113" t="s">
        <v>82</v>
      </c>
      <c r="J139" s="116">
        <v>45771</v>
      </c>
      <c r="K139" s="98">
        <v>2</v>
      </c>
      <c r="L139" s="99"/>
      <c r="M139" s="100" t="s">
        <v>170</v>
      </c>
      <c r="N139" s="101">
        <f>IF(J137&gt;0,WEEKNUM(J137,1),"")</f>
        <v>17</v>
      </c>
      <c r="O139" s="102" t="str">
        <f t="shared" si="28"/>
        <v>Apr-25</v>
      </c>
    </row>
    <row r="140" spans="1:15" ht="29" x14ac:dyDescent="0.35">
      <c r="A140" s="93" t="s">
        <v>40</v>
      </c>
      <c r="B140" s="94">
        <v>1001</v>
      </c>
      <c r="C140" s="94">
        <v>38</v>
      </c>
      <c r="D140" s="95" t="s">
        <v>243</v>
      </c>
      <c r="E140" s="96"/>
      <c r="F140" s="59" t="s">
        <v>113</v>
      </c>
      <c r="G140" s="58" t="s">
        <v>114</v>
      </c>
      <c r="H140" s="83" t="s">
        <v>244</v>
      </c>
      <c r="I140" s="113" t="s">
        <v>82</v>
      </c>
      <c r="J140" s="116">
        <v>45771</v>
      </c>
      <c r="K140" s="98">
        <v>6</v>
      </c>
      <c r="L140" s="99"/>
      <c r="M140" s="100" t="s">
        <v>170</v>
      </c>
      <c r="N140" s="101">
        <f>IF(J140&gt;0,WEEKNUM(J140,1),"")</f>
        <v>17</v>
      </c>
      <c r="O140" s="102" t="str">
        <f t="shared" si="28"/>
        <v>Apr-25</v>
      </c>
    </row>
    <row r="141" spans="1:15" x14ac:dyDescent="0.35">
      <c r="A141" s="103" t="s">
        <v>40</v>
      </c>
      <c r="B141" s="104">
        <v>2001</v>
      </c>
      <c r="C141" s="104">
        <v>38</v>
      </c>
      <c r="D141" s="105" t="s">
        <v>243</v>
      </c>
      <c r="E141" s="106"/>
      <c r="F141" s="77" t="s">
        <v>113</v>
      </c>
      <c r="G141" s="78" t="s">
        <v>114</v>
      </c>
      <c r="H141" s="84" t="s">
        <v>245</v>
      </c>
      <c r="I141" s="114" t="s">
        <v>82</v>
      </c>
      <c r="J141" s="117">
        <v>45772</v>
      </c>
      <c r="K141" s="108">
        <v>9</v>
      </c>
      <c r="L141" s="109"/>
      <c r="M141" s="110" t="s">
        <v>170</v>
      </c>
      <c r="N141" s="111">
        <f t="shared" si="25"/>
        <v>17</v>
      </c>
      <c r="O141" s="112" t="str">
        <f t="shared" si="27"/>
        <v>Apr-25</v>
      </c>
    </row>
    <row r="142" spans="1:15" ht="29" x14ac:dyDescent="0.35">
      <c r="A142" s="93" t="s">
        <v>40</v>
      </c>
      <c r="B142" s="94">
        <v>1001</v>
      </c>
      <c r="C142" s="94">
        <v>39</v>
      </c>
      <c r="D142" s="95" t="s">
        <v>256</v>
      </c>
      <c r="E142" s="96"/>
      <c r="F142" s="59" t="s">
        <v>113</v>
      </c>
      <c r="G142" s="58" t="s">
        <v>236</v>
      </c>
      <c r="H142" s="83" t="s">
        <v>257</v>
      </c>
      <c r="I142" s="113" t="s">
        <v>82</v>
      </c>
      <c r="J142" s="116">
        <v>45775</v>
      </c>
      <c r="K142" s="98">
        <v>9</v>
      </c>
      <c r="L142" s="99"/>
      <c r="M142" s="100" t="s">
        <v>170</v>
      </c>
      <c r="N142" s="101">
        <f t="shared" si="25"/>
        <v>18</v>
      </c>
      <c r="O142" s="102" t="str">
        <f t="shared" si="27"/>
        <v>Apr-25</v>
      </c>
    </row>
    <row r="143" spans="1:15" x14ac:dyDescent="0.35">
      <c r="A143" s="93" t="s">
        <v>40</v>
      </c>
      <c r="B143" s="94">
        <v>2001</v>
      </c>
      <c r="C143" s="94">
        <v>39</v>
      </c>
      <c r="D143" s="95" t="s">
        <v>256</v>
      </c>
      <c r="E143" s="96"/>
      <c r="F143" s="59" t="s">
        <v>113</v>
      </c>
      <c r="G143" s="58" t="s">
        <v>236</v>
      </c>
      <c r="H143" s="83" t="s">
        <v>258</v>
      </c>
      <c r="I143" s="113" t="s">
        <v>82</v>
      </c>
      <c r="J143" s="116">
        <v>45776</v>
      </c>
      <c r="K143" s="98">
        <v>5</v>
      </c>
      <c r="L143" s="99"/>
      <c r="M143" s="100" t="s">
        <v>170</v>
      </c>
      <c r="N143" s="101">
        <f t="shared" si="25"/>
        <v>18</v>
      </c>
      <c r="O143" s="102" t="str">
        <f t="shared" si="27"/>
        <v>Apr-25</v>
      </c>
    </row>
    <row r="144" spans="1:15" x14ac:dyDescent="0.35">
      <c r="A144" s="93" t="s">
        <v>40</v>
      </c>
      <c r="B144" s="94">
        <v>10001</v>
      </c>
      <c r="C144" s="94">
        <v>6</v>
      </c>
      <c r="D144" s="95" t="s">
        <v>88</v>
      </c>
      <c r="E144" s="96"/>
      <c r="F144" s="120" t="s">
        <v>113</v>
      </c>
      <c r="G144" s="119" t="s">
        <v>179</v>
      </c>
      <c r="H144" s="121" t="s">
        <v>259</v>
      </c>
      <c r="I144" s="113" t="s">
        <v>82</v>
      </c>
      <c r="J144" s="116">
        <v>45776</v>
      </c>
      <c r="K144" s="98">
        <v>4</v>
      </c>
      <c r="L144" s="99"/>
      <c r="M144" s="100" t="s">
        <v>170</v>
      </c>
      <c r="N144" s="101">
        <f>IF(J144&gt;0,WEEKNUM(J144,1),"")</f>
        <v>18</v>
      </c>
      <c r="O144" s="102" t="str">
        <f>IF(J144&gt;0,TEXT(J144,"Mmm-yy"),"")</f>
        <v>Apr-25</v>
      </c>
    </row>
    <row r="145" spans="1:15" ht="29" x14ac:dyDescent="0.35">
      <c r="A145" s="93" t="s">
        <v>40</v>
      </c>
      <c r="B145" s="94">
        <v>2001</v>
      </c>
      <c r="C145" s="94">
        <v>37</v>
      </c>
      <c r="D145" s="95" t="s">
        <v>168</v>
      </c>
      <c r="E145" s="96"/>
      <c r="F145" s="59" t="s">
        <v>113</v>
      </c>
      <c r="G145" s="58" t="s">
        <v>110</v>
      </c>
      <c r="H145" s="83" t="s">
        <v>260</v>
      </c>
      <c r="I145" s="113" t="s">
        <v>82</v>
      </c>
      <c r="J145" s="116">
        <v>45777</v>
      </c>
      <c r="K145" s="98">
        <v>6</v>
      </c>
      <c r="L145" s="99"/>
      <c r="M145" s="100" t="s">
        <v>170</v>
      </c>
      <c r="N145" s="101">
        <f>IF(J145&gt;0,WEEKNUM(J145,1),"")</f>
        <v>18</v>
      </c>
      <c r="O145" s="102" t="str">
        <f>IF(J145&gt;0,TEXT(J145,"Mmm-yy"),"")</f>
        <v>Apr-25</v>
      </c>
    </row>
    <row r="146" spans="1:15" x14ac:dyDescent="0.35">
      <c r="A146" s="93" t="s">
        <v>40</v>
      </c>
      <c r="B146" s="94">
        <v>10001</v>
      </c>
      <c r="C146" s="94">
        <v>6</v>
      </c>
      <c r="D146" s="95" t="s">
        <v>88</v>
      </c>
      <c r="E146" s="96"/>
      <c r="F146" s="120" t="s">
        <v>113</v>
      </c>
      <c r="G146" s="119" t="s">
        <v>179</v>
      </c>
      <c r="H146" s="121" t="s">
        <v>261</v>
      </c>
      <c r="I146" s="113" t="s">
        <v>82</v>
      </c>
      <c r="J146" s="116">
        <v>45777</v>
      </c>
      <c r="K146" s="98">
        <v>3</v>
      </c>
      <c r="L146" s="99"/>
      <c r="M146" s="100" t="s">
        <v>170</v>
      </c>
      <c r="N146" s="101">
        <f t="shared" si="25"/>
        <v>18</v>
      </c>
      <c r="O146" s="102" t="str">
        <f t="shared" si="27"/>
        <v>Apr-25</v>
      </c>
    </row>
    <row r="147" spans="1:15" x14ac:dyDescent="0.35">
      <c r="A147" s="93" t="s">
        <v>40</v>
      </c>
      <c r="B147" s="94">
        <v>12001</v>
      </c>
      <c r="C147" s="94">
        <v>6</v>
      </c>
      <c r="D147" s="95" t="s">
        <v>262</v>
      </c>
      <c r="E147" s="96"/>
      <c r="F147" s="59"/>
      <c r="G147" s="58"/>
      <c r="H147" s="83"/>
      <c r="I147" s="113" t="s">
        <v>82</v>
      </c>
      <c r="J147" s="116">
        <v>45778</v>
      </c>
      <c r="K147" s="98">
        <v>9</v>
      </c>
      <c r="L147" s="99"/>
      <c r="M147" s="100" t="s">
        <v>170</v>
      </c>
      <c r="N147" s="101">
        <f>IF(J147&gt;0,WEEKNUM(J147,1),"")</f>
        <v>18</v>
      </c>
      <c r="O147" s="102" t="str">
        <f>IF(J147&gt;0,TEXT(J147,"Mmm-yy"),"")</f>
        <v>May-25</v>
      </c>
    </row>
    <row r="148" spans="1:15" ht="29" x14ac:dyDescent="0.35">
      <c r="A148" s="103" t="s">
        <v>40</v>
      </c>
      <c r="B148" s="104">
        <v>1001</v>
      </c>
      <c r="C148" s="104">
        <v>38</v>
      </c>
      <c r="D148" s="105" t="s">
        <v>243</v>
      </c>
      <c r="E148" s="106"/>
      <c r="F148" s="77" t="s">
        <v>113</v>
      </c>
      <c r="G148" s="78" t="s">
        <v>114</v>
      </c>
      <c r="H148" s="84" t="s">
        <v>244</v>
      </c>
      <c r="I148" s="114" t="s">
        <v>82</v>
      </c>
      <c r="J148" s="117">
        <v>45779</v>
      </c>
      <c r="K148" s="108">
        <v>9</v>
      </c>
      <c r="L148" s="109"/>
      <c r="M148" s="110" t="s">
        <v>170</v>
      </c>
      <c r="N148" s="111">
        <f>IF(J148&gt;0,WEEKNUM(J148,1),"")</f>
        <v>18</v>
      </c>
      <c r="O148" s="112" t="str">
        <f t="shared" ref="O148:O153" si="29">IF(J148&gt;0,TEXT(J148,"Mmm-yy"),"")</f>
        <v>May-25</v>
      </c>
    </row>
    <row r="149" spans="1:15" x14ac:dyDescent="0.35">
      <c r="A149" s="93" t="s">
        <v>40</v>
      </c>
      <c r="B149" s="94">
        <v>4001</v>
      </c>
      <c r="C149" s="94">
        <v>38</v>
      </c>
      <c r="D149" s="95" t="s">
        <v>246</v>
      </c>
      <c r="E149" s="96"/>
      <c r="F149" s="59" t="s">
        <v>113</v>
      </c>
      <c r="G149" s="58" t="s">
        <v>247</v>
      </c>
      <c r="H149" s="83" t="s">
        <v>248</v>
      </c>
      <c r="I149" s="113" t="s">
        <v>82</v>
      </c>
      <c r="J149" s="116">
        <v>45782</v>
      </c>
      <c r="K149" s="98">
        <v>9</v>
      </c>
      <c r="L149" s="99"/>
      <c r="M149" s="100" t="s">
        <v>170</v>
      </c>
      <c r="N149" s="101">
        <f t="shared" ref="N149:N153" si="30">IF(J149&gt;0,WEEKNUM(J149,1),"")</f>
        <v>19</v>
      </c>
      <c r="O149" s="102" t="str">
        <f t="shared" si="29"/>
        <v>May-25</v>
      </c>
    </row>
    <row r="150" spans="1:15" x14ac:dyDescent="0.35">
      <c r="A150" s="93" t="s">
        <v>40</v>
      </c>
      <c r="B150" s="94">
        <v>4001</v>
      </c>
      <c r="C150" s="94">
        <v>38</v>
      </c>
      <c r="D150" s="95" t="s">
        <v>246</v>
      </c>
      <c r="E150" s="96"/>
      <c r="F150" s="59" t="s">
        <v>113</v>
      </c>
      <c r="G150" s="58" t="s">
        <v>247</v>
      </c>
      <c r="H150" s="83" t="s">
        <v>249</v>
      </c>
      <c r="I150" s="113" t="s">
        <v>82</v>
      </c>
      <c r="J150" s="116">
        <v>45783</v>
      </c>
      <c r="K150" s="98">
        <v>7</v>
      </c>
      <c r="L150" s="99"/>
      <c r="M150" s="100" t="s">
        <v>170</v>
      </c>
      <c r="N150" s="101">
        <f t="shared" si="30"/>
        <v>19</v>
      </c>
      <c r="O150" s="102" t="str">
        <f t="shared" si="29"/>
        <v>May-25</v>
      </c>
    </row>
    <row r="151" spans="1:15" x14ac:dyDescent="0.35">
      <c r="A151" s="93" t="s">
        <v>40</v>
      </c>
      <c r="B151" s="94">
        <v>11001</v>
      </c>
      <c r="C151" s="94">
        <v>38</v>
      </c>
      <c r="D151" s="95" t="s">
        <v>250</v>
      </c>
      <c r="E151" s="96"/>
      <c r="F151" s="120" t="s">
        <v>113</v>
      </c>
      <c r="G151" s="119" t="s">
        <v>123</v>
      </c>
      <c r="H151" s="121" t="s">
        <v>251</v>
      </c>
      <c r="I151" s="113" t="s">
        <v>82</v>
      </c>
      <c r="J151" s="116">
        <v>45783</v>
      </c>
      <c r="K151" s="98">
        <v>2</v>
      </c>
      <c r="L151" s="99"/>
      <c r="M151" s="100" t="s">
        <v>170</v>
      </c>
      <c r="N151" s="101">
        <f>IF(J151&gt;0,WEEKNUM(J151,1),"")</f>
        <v>19</v>
      </c>
      <c r="O151" s="102" t="str">
        <f>IF(J151&gt;0,TEXT(J151,"Mmm-yy"),"")</f>
        <v>May-25</v>
      </c>
    </row>
    <row r="152" spans="1:15" x14ac:dyDescent="0.35">
      <c r="A152" s="93" t="s">
        <v>40</v>
      </c>
      <c r="B152" s="94">
        <v>4001</v>
      </c>
      <c r="C152" s="94">
        <v>38</v>
      </c>
      <c r="D152" s="95" t="s">
        <v>246</v>
      </c>
      <c r="E152" s="96"/>
      <c r="F152" s="59" t="s">
        <v>113</v>
      </c>
      <c r="G152" s="58" t="s">
        <v>247</v>
      </c>
      <c r="H152" s="83" t="s">
        <v>252</v>
      </c>
      <c r="I152" s="113" t="s">
        <v>82</v>
      </c>
      <c r="J152" s="116">
        <v>45784</v>
      </c>
      <c r="K152" s="98">
        <v>9</v>
      </c>
      <c r="L152" s="99"/>
      <c r="M152" s="100" t="s">
        <v>170</v>
      </c>
      <c r="N152" s="101">
        <f>IF(J152&gt;0,WEEKNUM(J152,1),"")</f>
        <v>19</v>
      </c>
      <c r="O152" s="102" t="str">
        <f>IF(J152&gt;0,TEXT(J152,"Mmm-yy"),"")</f>
        <v>May-25</v>
      </c>
    </row>
    <row r="153" spans="1:15" x14ac:dyDescent="0.35">
      <c r="A153" s="93" t="s">
        <v>40</v>
      </c>
      <c r="B153" s="94">
        <v>1001</v>
      </c>
      <c r="C153" s="94">
        <v>37</v>
      </c>
      <c r="D153" s="95" t="s">
        <v>246</v>
      </c>
      <c r="E153" s="96"/>
      <c r="F153" s="120" t="s">
        <v>113</v>
      </c>
      <c r="G153" s="58" t="s">
        <v>247</v>
      </c>
      <c r="H153" s="83" t="s">
        <v>252</v>
      </c>
      <c r="I153" s="113" t="s">
        <v>82</v>
      </c>
      <c r="J153" s="116">
        <v>45785</v>
      </c>
      <c r="K153" s="98">
        <v>9</v>
      </c>
      <c r="L153" s="99"/>
      <c r="M153" s="100" t="s">
        <v>170</v>
      </c>
      <c r="N153" s="101">
        <f t="shared" si="30"/>
        <v>19</v>
      </c>
      <c r="O153" s="102" t="str">
        <f t="shared" si="29"/>
        <v>May-25</v>
      </c>
    </row>
    <row r="154" spans="1:15" x14ac:dyDescent="0.35">
      <c r="A154" s="93" t="s">
        <v>40</v>
      </c>
      <c r="B154" s="94">
        <v>11001</v>
      </c>
      <c r="C154" s="94" t="s">
        <v>177</v>
      </c>
      <c r="D154" s="95" t="s">
        <v>250</v>
      </c>
      <c r="E154" s="96"/>
      <c r="F154" s="120"/>
      <c r="G154" s="58"/>
      <c r="H154" s="83" t="s">
        <v>253</v>
      </c>
      <c r="I154" s="113" t="s">
        <v>82</v>
      </c>
      <c r="J154" s="116">
        <v>45786</v>
      </c>
      <c r="K154" s="98">
        <v>0.5</v>
      </c>
      <c r="L154" s="99"/>
      <c r="M154" s="100" t="s">
        <v>170</v>
      </c>
      <c r="N154" s="101">
        <f>IF(J154&gt;0,WEEKNUM(J154,1),"")</f>
        <v>19</v>
      </c>
      <c r="O154" s="102" t="str">
        <f>IF(J154&gt;0,TEXT(J154,"Mmm-yy"),"")</f>
        <v>May-25</v>
      </c>
    </row>
    <row r="155" spans="1:15" ht="43.5" x14ac:dyDescent="0.35">
      <c r="A155" s="103" t="s">
        <v>40</v>
      </c>
      <c r="B155" s="104">
        <v>2001</v>
      </c>
      <c r="C155" s="104">
        <v>37</v>
      </c>
      <c r="D155" s="105" t="s">
        <v>254</v>
      </c>
      <c r="E155" s="106"/>
      <c r="F155" s="123" t="s">
        <v>113</v>
      </c>
      <c r="G155" s="122" t="s">
        <v>236</v>
      </c>
      <c r="H155" s="124" t="s">
        <v>255</v>
      </c>
      <c r="I155" s="114" t="s">
        <v>82</v>
      </c>
      <c r="J155" s="117">
        <v>45786</v>
      </c>
      <c r="K155" s="108">
        <v>8.5</v>
      </c>
      <c r="L155" s="109"/>
      <c r="M155" s="110" t="s">
        <v>170</v>
      </c>
      <c r="N155" s="111">
        <f>IF(J155&gt;0,WEEKNUM(J155,1),"")</f>
        <v>19</v>
      </c>
      <c r="O155" s="112" t="str">
        <f>IF(J155&gt;0,TEXT(J155,"Mmm-yy"),"")</f>
        <v>May-25</v>
      </c>
    </row>
    <row r="156" spans="1:15" x14ac:dyDescent="0.35">
      <c r="A156" s="93" t="s">
        <v>40</v>
      </c>
      <c r="B156" s="94">
        <v>12001</v>
      </c>
      <c r="C156" s="94" t="s">
        <v>177</v>
      </c>
      <c r="D156" s="95" t="s">
        <v>129</v>
      </c>
      <c r="E156" s="96"/>
      <c r="F156" s="59"/>
      <c r="G156" s="58"/>
      <c r="H156" s="83"/>
      <c r="I156" s="113" t="s">
        <v>82</v>
      </c>
      <c r="J156" s="116">
        <v>45789</v>
      </c>
      <c r="K156" s="98">
        <v>9</v>
      </c>
      <c r="L156" s="99"/>
      <c r="M156" s="100" t="s">
        <v>170</v>
      </c>
      <c r="N156" s="101">
        <f t="shared" ref="N156:N161" si="31">IF(J156&gt;0,WEEKNUM(J156,1),"")</f>
        <v>20</v>
      </c>
      <c r="O156" s="102" t="str">
        <f t="shared" ref="O156:O161" si="32">IF(J156&gt;0,TEXT(J156,"Mmm-yy"),"")</f>
        <v>May-25</v>
      </c>
    </row>
    <row r="157" spans="1:15" x14ac:dyDescent="0.35">
      <c r="A157" s="93" t="s">
        <v>40</v>
      </c>
      <c r="B157" s="94">
        <v>11001</v>
      </c>
      <c r="C157" s="94">
        <v>38</v>
      </c>
      <c r="D157" s="95" t="s">
        <v>250</v>
      </c>
      <c r="E157" s="96"/>
      <c r="F157" s="120" t="s">
        <v>113</v>
      </c>
      <c r="G157" s="119" t="s">
        <v>123</v>
      </c>
      <c r="H157" s="121" t="s">
        <v>263</v>
      </c>
      <c r="I157" s="113" t="s">
        <v>82</v>
      </c>
      <c r="J157" s="116">
        <v>45790</v>
      </c>
      <c r="K157" s="98">
        <v>1</v>
      </c>
      <c r="L157" s="99"/>
      <c r="M157" s="100" t="s">
        <v>170</v>
      </c>
      <c r="N157" s="101">
        <f>IF(J157&gt;0,WEEKNUM(J157,1),"")</f>
        <v>20</v>
      </c>
      <c r="O157" s="102" t="str">
        <f>IF(J157&gt;0,TEXT(J157,"Mmm-yy"),"")</f>
        <v>May-25</v>
      </c>
    </row>
    <row r="158" spans="1:15" ht="29" x14ac:dyDescent="0.35">
      <c r="A158" s="93" t="s">
        <v>40</v>
      </c>
      <c r="B158" s="94">
        <v>4001</v>
      </c>
      <c r="C158" s="94">
        <v>38</v>
      </c>
      <c r="D158" s="95" t="s">
        <v>246</v>
      </c>
      <c r="E158" s="96"/>
      <c r="F158" s="59" t="s">
        <v>113</v>
      </c>
      <c r="G158" s="58" t="s">
        <v>247</v>
      </c>
      <c r="H158" s="83" t="s">
        <v>264</v>
      </c>
      <c r="I158" s="113" t="s">
        <v>82</v>
      </c>
      <c r="J158" s="116">
        <v>45790</v>
      </c>
      <c r="K158" s="98">
        <v>8</v>
      </c>
      <c r="L158" s="99"/>
      <c r="M158" s="100" t="s">
        <v>170</v>
      </c>
      <c r="N158" s="101">
        <f t="shared" si="31"/>
        <v>20</v>
      </c>
      <c r="O158" s="102" t="str">
        <f t="shared" si="32"/>
        <v>May-25</v>
      </c>
    </row>
    <row r="159" spans="1:15" ht="29" x14ac:dyDescent="0.35">
      <c r="A159" s="93" t="s">
        <v>40</v>
      </c>
      <c r="B159" s="94">
        <v>11001</v>
      </c>
      <c r="C159" s="94">
        <v>38</v>
      </c>
      <c r="D159" s="95" t="s">
        <v>250</v>
      </c>
      <c r="E159" s="96"/>
      <c r="F159" s="120" t="s">
        <v>113</v>
      </c>
      <c r="G159" s="119" t="s">
        <v>123</v>
      </c>
      <c r="H159" s="121" t="s">
        <v>265</v>
      </c>
      <c r="I159" s="113" t="s">
        <v>82</v>
      </c>
      <c r="J159" s="116">
        <v>45791</v>
      </c>
      <c r="K159" s="98">
        <v>1</v>
      </c>
      <c r="L159" s="99"/>
      <c r="M159" s="100" t="s">
        <v>170</v>
      </c>
      <c r="N159" s="101">
        <f>IF(J159&gt;0,WEEKNUM(J159,1),"")</f>
        <v>20</v>
      </c>
      <c r="O159" s="102" t="str">
        <f>IF(J159&gt;0,TEXT(J159,"Mmm-yy"),"")</f>
        <v>May-25</v>
      </c>
    </row>
    <row r="160" spans="1:15" ht="29" x14ac:dyDescent="0.35">
      <c r="A160" s="93" t="s">
        <v>40</v>
      </c>
      <c r="B160" s="94">
        <v>4001</v>
      </c>
      <c r="C160" s="94">
        <v>39</v>
      </c>
      <c r="D160" s="95" t="s">
        <v>266</v>
      </c>
      <c r="E160" s="96"/>
      <c r="F160" s="59" t="s">
        <v>113</v>
      </c>
      <c r="G160" s="58" t="s">
        <v>110</v>
      </c>
      <c r="H160" s="83" t="s">
        <v>267</v>
      </c>
      <c r="I160" s="113" t="s">
        <v>82</v>
      </c>
      <c r="J160" s="116">
        <v>45791</v>
      </c>
      <c r="K160" s="98">
        <v>8</v>
      </c>
      <c r="L160" s="99"/>
      <c r="M160" s="100" t="s">
        <v>170</v>
      </c>
      <c r="N160" s="101">
        <f>IF(J160&gt;0,WEEKNUM(J160,1),"")</f>
        <v>20</v>
      </c>
      <c r="O160" s="102" t="str">
        <f>IF(J160&gt;0,TEXT(J160,"Mmm-yy"),"")</f>
        <v>May-25</v>
      </c>
    </row>
    <row r="161" spans="1:15" x14ac:dyDescent="0.35">
      <c r="A161" s="93" t="s">
        <v>40</v>
      </c>
      <c r="B161" s="94">
        <v>1001</v>
      </c>
      <c r="C161" s="94">
        <v>37</v>
      </c>
      <c r="D161" s="95" t="s">
        <v>246</v>
      </c>
      <c r="E161" s="96"/>
      <c r="F161" s="120" t="s">
        <v>113</v>
      </c>
      <c r="G161" s="58" t="s">
        <v>247</v>
      </c>
      <c r="H161" s="83" t="s">
        <v>268</v>
      </c>
      <c r="I161" s="113" t="s">
        <v>82</v>
      </c>
      <c r="J161" s="116">
        <v>45792</v>
      </c>
      <c r="K161" s="98">
        <v>2</v>
      </c>
      <c r="L161" s="99"/>
      <c r="M161" s="100" t="s">
        <v>170</v>
      </c>
      <c r="N161" s="101">
        <f t="shared" si="31"/>
        <v>20</v>
      </c>
      <c r="O161" s="102" t="str">
        <f t="shared" si="32"/>
        <v>May-25</v>
      </c>
    </row>
    <row r="162" spans="1:15" x14ac:dyDescent="0.35">
      <c r="A162" s="93" t="s">
        <v>40</v>
      </c>
      <c r="B162" s="94">
        <v>10001</v>
      </c>
      <c r="C162" s="94">
        <v>6</v>
      </c>
      <c r="D162" s="127" t="s">
        <v>88</v>
      </c>
      <c r="E162" s="96"/>
      <c r="F162" s="126" t="s">
        <v>113</v>
      </c>
      <c r="G162" s="59" t="s">
        <v>209</v>
      </c>
      <c r="H162" s="83" t="s">
        <v>269</v>
      </c>
      <c r="I162" s="113" t="s">
        <v>82</v>
      </c>
      <c r="J162" s="116">
        <v>45792</v>
      </c>
      <c r="K162" s="98">
        <v>7</v>
      </c>
      <c r="L162" s="99"/>
      <c r="M162" s="100" t="s">
        <v>170</v>
      </c>
      <c r="N162" s="101">
        <f>IF(J162&gt;0,WEEKNUM(J162,1),"")</f>
        <v>20</v>
      </c>
      <c r="O162" s="102" t="str">
        <f>IF(J162&gt;0,TEXT(J162,"Mmm-yy"),"")</f>
        <v>May-25</v>
      </c>
    </row>
    <row r="163" spans="1:15" x14ac:dyDescent="0.35">
      <c r="A163" s="93" t="s">
        <v>40</v>
      </c>
      <c r="B163" s="94">
        <v>10001</v>
      </c>
      <c r="C163" s="94">
        <v>6</v>
      </c>
      <c r="D163" s="127" t="s">
        <v>88</v>
      </c>
      <c r="E163" s="96"/>
      <c r="F163" s="126" t="s">
        <v>113</v>
      </c>
      <c r="G163" s="59" t="s">
        <v>209</v>
      </c>
      <c r="H163" s="83" t="s">
        <v>270</v>
      </c>
      <c r="I163" s="128" t="s">
        <v>82</v>
      </c>
      <c r="J163" s="116">
        <v>45793</v>
      </c>
      <c r="K163" s="98">
        <v>8.5</v>
      </c>
      <c r="L163" s="129"/>
      <c r="M163" s="100" t="s">
        <v>170</v>
      </c>
      <c r="N163" s="101">
        <f>IF(J163&gt;0,WEEKNUM(J163,1),"")</f>
        <v>20</v>
      </c>
      <c r="O163" s="102" t="str">
        <f>IF(J163&gt;0,TEXT(J163,"Mmm-yy"),"")</f>
        <v>May-25</v>
      </c>
    </row>
    <row r="164" spans="1:15" x14ac:dyDescent="0.35">
      <c r="A164" s="103" t="s">
        <v>40</v>
      </c>
      <c r="B164" s="104">
        <v>11001</v>
      </c>
      <c r="C164" s="104" t="s">
        <v>177</v>
      </c>
      <c r="D164" s="105" t="s">
        <v>250</v>
      </c>
      <c r="E164" s="106"/>
      <c r="F164" s="123"/>
      <c r="G164" s="78"/>
      <c r="H164" s="84" t="s">
        <v>271</v>
      </c>
      <c r="I164" s="114" t="s">
        <v>82</v>
      </c>
      <c r="J164" s="117">
        <v>45793</v>
      </c>
      <c r="K164" s="108">
        <v>0.5</v>
      </c>
      <c r="L164" s="109"/>
      <c r="M164" s="110" t="s">
        <v>170</v>
      </c>
      <c r="N164" s="111">
        <f>IF(J164&gt;0,WEEKNUM(J164,1),"")</f>
        <v>20</v>
      </c>
      <c r="O164" s="112" t="str">
        <f>IF(J164&gt;0,TEXT(J164,"Mmm-yy"),"")</f>
        <v>May-25</v>
      </c>
    </row>
    <row r="165" spans="1:15" x14ac:dyDescent="0.35">
      <c r="A165" s="93" t="s">
        <v>40</v>
      </c>
      <c r="B165" s="94">
        <v>12001</v>
      </c>
      <c r="C165" s="94" t="s">
        <v>177</v>
      </c>
      <c r="D165" s="95" t="s">
        <v>272</v>
      </c>
      <c r="E165" s="96"/>
      <c r="F165" s="59"/>
      <c r="G165" s="58"/>
      <c r="H165" s="83"/>
      <c r="I165" s="113" t="s">
        <v>82</v>
      </c>
      <c r="J165" s="116">
        <v>45796</v>
      </c>
      <c r="K165" s="98">
        <v>4.5</v>
      </c>
      <c r="L165" s="99"/>
      <c r="M165" s="100" t="s">
        <v>170</v>
      </c>
      <c r="N165" s="101">
        <f t="shared" ref="N165:N173" si="33">IF(J165&gt;0,WEEKNUM(J165,1),"")</f>
        <v>21</v>
      </c>
      <c r="O165" s="102" t="str">
        <f t="shared" ref="O165:O173" si="34">IF(J165&gt;0,TEXT(J165,"Mmm-yy"),"")</f>
        <v>May-25</v>
      </c>
    </row>
    <row r="166" spans="1:15" x14ac:dyDescent="0.35">
      <c r="A166" s="93" t="s">
        <v>40</v>
      </c>
      <c r="B166" s="94">
        <v>4001</v>
      </c>
      <c r="C166" s="94">
        <v>38</v>
      </c>
      <c r="D166" s="95" t="s">
        <v>246</v>
      </c>
      <c r="E166" s="96"/>
      <c r="F166" s="59" t="s">
        <v>113</v>
      </c>
      <c r="G166" s="58" t="s">
        <v>247</v>
      </c>
      <c r="H166" s="83" t="s">
        <v>273</v>
      </c>
      <c r="I166" s="113" t="s">
        <v>82</v>
      </c>
      <c r="J166" s="116">
        <v>45796</v>
      </c>
      <c r="K166" s="98">
        <v>4.5</v>
      </c>
      <c r="L166" s="99"/>
      <c r="M166" s="100" t="s">
        <v>170</v>
      </c>
      <c r="N166" s="101">
        <f>IF(J166&gt;0,WEEKNUM(J166,1),"")</f>
        <v>21</v>
      </c>
      <c r="O166" s="102" t="str">
        <f>IF(J166&gt;0,TEXT(J166,"Mmm-yy"),"")</f>
        <v>May-25</v>
      </c>
    </row>
    <row r="167" spans="1:15" ht="29" x14ac:dyDescent="0.35">
      <c r="A167" s="93" t="s">
        <v>40</v>
      </c>
      <c r="B167" s="94">
        <v>4001</v>
      </c>
      <c r="C167" s="94">
        <v>38</v>
      </c>
      <c r="D167" s="95" t="s">
        <v>246</v>
      </c>
      <c r="E167" s="96"/>
      <c r="F167" s="59" t="s">
        <v>113</v>
      </c>
      <c r="G167" s="58" t="s">
        <v>247</v>
      </c>
      <c r="H167" s="83" t="s">
        <v>264</v>
      </c>
      <c r="I167" s="113" t="s">
        <v>82</v>
      </c>
      <c r="J167" s="116">
        <v>45797</v>
      </c>
      <c r="K167" s="98">
        <v>8</v>
      </c>
      <c r="L167" s="99"/>
      <c r="M167" s="100" t="s">
        <v>170</v>
      </c>
      <c r="N167" s="101">
        <f t="shared" si="33"/>
        <v>21</v>
      </c>
      <c r="O167" s="102" t="str">
        <f t="shared" si="34"/>
        <v>May-25</v>
      </c>
    </row>
    <row r="168" spans="1:15" x14ac:dyDescent="0.35">
      <c r="A168" s="93" t="s">
        <v>40</v>
      </c>
      <c r="B168" s="94">
        <v>11001</v>
      </c>
      <c r="C168" s="94">
        <v>38</v>
      </c>
      <c r="D168" s="95" t="s">
        <v>250</v>
      </c>
      <c r="E168" s="96"/>
      <c r="F168" s="120"/>
      <c r="G168" s="58"/>
      <c r="H168" s="83" t="s">
        <v>274</v>
      </c>
      <c r="I168" s="113" t="s">
        <v>82</v>
      </c>
      <c r="J168" s="116">
        <v>45797</v>
      </c>
      <c r="K168" s="98">
        <v>1</v>
      </c>
      <c r="L168" s="99"/>
      <c r="M168" s="100" t="s">
        <v>170</v>
      </c>
      <c r="N168" s="101">
        <f>IF(J168&gt;0,WEEKNUM(J168,1),"")</f>
        <v>21</v>
      </c>
      <c r="O168" s="102" t="str">
        <f>IF(J168&gt;0,TEXT(J168,"Mmm-yy"),"")</f>
        <v>May-25</v>
      </c>
    </row>
    <row r="169" spans="1:15" x14ac:dyDescent="0.35">
      <c r="A169" s="93" t="s">
        <v>40</v>
      </c>
      <c r="B169" s="94">
        <v>4001</v>
      </c>
      <c r="C169" s="94">
        <v>39</v>
      </c>
      <c r="D169" s="95" t="s">
        <v>266</v>
      </c>
      <c r="E169" s="96"/>
      <c r="F169" s="59" t="s">
        <v>113</v>
      </c>
      <c r="G169" s="58" t="s">
        <v>110</v>
      </c>
      <c r="H169" s="83" t="s">
        <v>275</v>
      </c>
      <c r="I169" s="113" t="s">
        <v>82</v>
      </c>
      <c r="J169" s="116">
        <v>45798</v>
      </c>
      <c r="K169" s="98">
        <v>4</v>
      </c>
      <c r="L169" s="99"/>
      <c r="M169" s="100" t="s">
        <v>170</v>
      </c>
      <c r="N169" s="101">
        <f>IF(J169&gt;0,WEEKNUM(J169,1),"")</f>
        <v>21</v>
      </c>
      <c r="O169" s="102" t="str">
        <f>IF(J169&gt;0,TEXT(J169,"Mmm-yy"),"")</f>
        <v>May-25</v>
      </c>
    </row>
    <row r="170" spans="1:15" x14ac:dyDescent="0.35">
      <c r="A170" s="93" t="s">
        <v>40</v>
      </c>
      <c r="B170" s="94">
        <v>11001</v>
      </c>
      <c r="C170" s="94">
        <v>38</v>
      </c>
      <c r="D170" s="95" t="s">
        <v>250</v>
      </c>
      <c r="E170" s="96"/>
      <c r="F170" s="120"/>
      <c r="G170" s="58"/>
      <c r="H170" s="83" t="s">
        <v>276</v>
      </c>
      <c r="I170" s="113" t="s">
        <v>82</v>
      </c>
      <c r="J170" s="116">
        <v>45798</v>
      </c>
      <c r="K170" s="98">
        <v>1</v>
      </c>
      <c r="L170" s="99"/>
      <c r="M170" s="100" t="s">
        <v>170</v>
      </c>
      <c r="N170" s="101">
        <f>IF(J170&gt;0,WEEKNUM(J170,1),"")</f>
        <v>21</v>
      </c>
      <c r="O170" s="102" t="str">
        <f>IF(J170&gt;0,TEXT(J170,"Mmm-yy"),"")</f>
        <v>May-25</v>
      </c>
    </row>
    <row r="171" spans="1:15" x14ac:dyDescent="0.35">
      <c r="A171" s="93" t="s">
        <v>40</v>
      </c>
      <c r="B171" s="94">
        <v>4001</v>
      </c>
      <c r="C171" s="94">
        <v>39</v>
      </c>
      <c r="D171" s="95" t="s">
        <v>277</v>
      </c>
      <c r="E171" s="96"/>
      <c r="F171" s="59" t="s">
        <v>113</v>
      </c>
      <c r="G171" s="58" t="s">
        <v>123</v>
      </c>
      <c r="H171" s="83" t="s">
        <v>278</v>
      </c>
      <c r="I171" s="113" t="s">
        <v>82</v>
      </c>
      <c r="J171" s="116">
        <v>45798</v>
      </c>
      <c r="K171" s="98">
        <v>4</v>
      </c>
      <c r="L171" s="99"/>
      <c r="M171" s="100" t="s">
        <v>170</v>
      </c>
      <c r="N171" s="101">
        <f>IF(J171&gt;0,WEEKNUM(J171,1),"")</f>
        <v>21</v>
      </c>
      <c r="O171" s="102" t="str">
        <f>IF(J171&gt;0,TEXT(J171,"Mmm-yy"),"")</f>
        <v>May-25</v>
      </c>
    </row>
    <row r="172" spans="1:15" x14ac:dyDescent="0.35">
      <c r="A172" s="93" t="s">
        <v>40</v>
      </c>
      <c r="B172" s="94">
        <v>4001</v>
      </c>
      <c r="C172" s="94">
        <v>39</v>
      </c>
      <c r="D172" s="95" t="s">
        <v>279</v>
      </c>
      <c r="E172" s="96"/>
      <c r="F172" s="59" t="s">
        <v>113</v>
      </c>
      <c r="G172" s="58" t="s">
        <v>110</v>
      </c>
      <c r="H172" s="83" t="s">
        <v>280</v>
      </c>
      <c r="I172" s="113" t="s">
        <v>82</v>
      </c>
      <c r="J172" s="116">
        <v>45799</v>
      </c>
      <c r="K172" s="98">
        <v>9</v>
      </c>
      <c r="L172" s="99"/>
      <c r="M172" s="100" t="s">
        <v>170</v>
      </c>
      <c r="N172" s="101">
        <f>IF(J172&gt;0,WEEKNUM(J172,1),"")</f>
        <v>21</v>
      </c>
      <c r="O172" s="102" t="str">
        <f>IF(J172&gt;0,TEXT(J172,"Mmm-yy"),"")</f>
        <v>May-25</v>
      </c>
    </row>
    <row r="173" spans="1:15" x14ac:dyDescent="0.35">
      <c r="A173" s="93" t="s">
        <v>40</v>
      </c>
      <c r="B173" s="94">
        <v>4001</v>
      </c>
      <c r="C173" s="94">
        <v>37</v>
      </c>
      <c r="D173" s="95" t="s">
        <v>281</v>
      </c>
      <c r="E173" s="96"/>
      <c r="F173" s="59" t="s">
        <v>113</v>
      </c>
      <c r="G173" s="58" t="s">
        <v>247</v>
      </c>
      <c r="H173" s="83" t="s">
        <v>282</v>
      </c>
      <c r="I173" s="113" t="s">
        <v>82</v>
      </c>
      <c r="J173" s="116">
        <v>45800</v>
      </c>
      <c r="K173" s="98">
        <v>3</v>
      </c>
      <c r="L173" s="99"/>
      <c r="M173" s="100" t="s">
        <v>170</v>
      </c>
      <c r="N173" s="101">
        <f t="shared" si="33"/>
        <v>21</v>
      </c>
      <c r="O173" s="102" t="str">
        <f t="shared" si="34"/>
        <v>May-25</v>
      </c>
    </row>
    <row r="174" spans="1:15" x14ac:dyDescent="0.35">
      <c r="A174" s="93" t="s">
        <v>40</v>
      </c>
      <c r="B174" s="94">
        <v>10001</v>
      </c>
      <c r="C174" s="94">
        <v>6</v>
      </c>
      <c r="D174" s="127" t="s">
        <v>88</v>
      </c>
      <c r="E174" s="96"/>
      <c r="F174" s="126" t="s">
        <v>113</v>
      </c>
      <c r="G174" s="59" t="s">
        <v>209</v>
      </c>
      <c r="H174" s="83" t="s">
        <v>283</v>
      </c>
      <c r="I174" s="113" t="s">
        <v>82</v>
      </c>
      <c r="J174" s="116">
        <v>45800</v>
      </c>
      <c r="K174" s="98">
        <v>2</v>
      </c>
      <c r="L174" s="99"/>
      <c r="M174" s="100" t="s">
        <v>170</v>
      </c>
      <c r="N174" s="101">
        <f>IF(J174&gt;0,WEEKNUM(J174,1),"")</f>
        <v>21</v>
      </c>
      <c r="O174" s="102" t="str">
        <f>IF(J174&gt;0,TEXT(J174,"Mmm-yy"),"")</f>
        <v>May-25</v>
      </c>
    </row>
    <row r="175" spans="1:15" x14ac:dyDescent="0.35">
      <c r="A175" s="103" t="s">
        <v>40</v>
      </c>
      <c r="B175" s="104">
        <v>10001</v>
      </c>
      <c r="C175" s="104">
        <v>6</v>
      </c>
      <c r="D175" s="130" t="s">
        <v>88</v>
      </c>
      <c r="E175" s="106"/>
      <c r="F175" s="131" t="s">
        <v>113</v>
      </c>
      <c r="G175" s="77" t="s">
        <v>209</v>
      </c>
      <c r="H175" s="84" t="s">
        <v>284</v>
      </c>
      <c r="I175" s="132" t="s">
        <v>82</v>
      </c>
      <c r="J175" s="117">
        <v>45800</v>
      </c>
      <c r="K175" s="108">
        <v>4</v>
      </c>
      <c r="L175" s="133"/>
      <c r="M175" s="110" t="s">
        <v>170</v>
      </c>
      <c r="N175" s="111">
        <f>IF(J175&gt;0,WEEKNUM(J175,1),"")</f>
        <v>21</v>
      </c>
      <c r="O175" s="102" t="str">
        <f>IF(J175&gt;0,TEXT(J175,"Mmm-yy"),"")</f>
        <v>May-25</v>
      </c>
    </row>
    <row r="176" spans="1:15" ht="15.5" x14ac:dyDescent="0.35">
      <c r="A176" s="93" t="s">
        <v>40</v>
      </c>
      <c r="B176" s="94">
        <v>2001</v>
      </c>
      <c r="C176" s="94">
        <v>37</v>
      </c>
      <c r="D176" s="95" t="s">
        <v>254</v>
      </c>
      <c r="E176" s="96"/>
      <c r="F176" s="120" t="s">
        <v>113</v>
      </c>
      <c r="G176" s="119" t="s">
        <v>236</v>
      </c>
      <c r="H176" s="121" t="s">
        <v>285</v>
      </c>
      <c r="I176" s="113" t="s">
        <v>82</v>
      </c>
      <c r="J176" s="116">
        <v>45803</v>
      </c>
      <c r="K176" s="98">
        <v>3</v>
      </c>
      <c r="L176" s="134"/>
      <c r="M176" s="100" t="s">
        <v>170</v>
      </c>
      <c r="N176" s="101">
        <f t="shared" ref="N176:N178" si="35">IF(J176&gt;0,WEEKNUM(J176,1),"")</f>
        <v>22</v>
      </c>
      <c r="O176" s="102" t="str">
        <f t="shared" ref="O176:O203" si="36">IF(J176&gt;0,TEXT(J176,"Mmm-yy"),"")</f>
        <v>May-25</v>
      </c>
    </row>
    <row r="177" spans="1:15" ht="15.5" x14ac:dyDescent="0.35">
      <c r="A177" s="93" t="s">
        <v>40</v>
      </c>
      <c r="B177" s="94">
        <v>11001</v>
      </c>
      <c r="C177" s="94">
        <v>37</v>
      </c>
      <c r="D177" s="95" t="s">
        <v>250</v>
      </c>
      <c r="E177" s="96"/>
      <c r="F177" s="126" t="s">
        <v>113</v>
      </c>
      <c r="G177" s="72" t="s">
        <v>236</v>
      </c>
      <c r="H177" s="83" t="s">
        <v>286</v>
      </c>
      <c r="I177" s="113" t="s">
        <v>82</v>
      </c>
      <c r="J177" s="116">
        <v>45803</v>
      </c>
      <c r="K177" s="98">
        <v>2</v>
      </c>
      <c r="L177" s="134"/>
      <c r="M177" s="100" t="s">
        <v>170</v>
      </c>
      <c r="N177" s="101">
        <f t="shared" si="35"/>
        <v>22</v>
      </c>
      <c r="O177" s="102" t="str">
        <f t="shared" si="36"/>
        <v>May-25</v>
      </c>
    </row>
    <row r="178" spans="1:15" x14ac:dyDescent="0.35">
      <c r="A178" s="93" t="s">
        <v>40</v>
      </c>
      <c r="B178" s="94">
        <v>10001</v>
      </c>
      <c r="C178" s="94">
        <v>6</v>
      </c>
      <c r="D178" s="127" t="s">
        <v>88</v>
      </c>
      <c r="E178" s="96"/>
      <c r="F178" s="126" t="s">
        <v>113</v>
      </c>
      <c r="G178" s="59" t="s">
        <v>209</v>
      </c>
      <c r="H178" s="83" t="s">
        <v>287</v>
      </c>
      <c r="I178" s="113" t="s">
        <v>82</v>
      </c>
      <c r="J178" s="116">
        <v>45803</v>
      </c>
      <c r="K178" s="98">
        <v>4</v>
      </c>
      <c r="L178" s="99"/>
      <c r="M178" s="100" t="s">
        <v>170</v>
      </c>
      <c r="N178" s="101">
        <f t="shared" si="35"/>
        <v>22</v>
      </c>
      <c r="O178" s="102" t="str">
        <f t="shared" si="36"/>
        <v>May-25</v>
      </c>
    </row>
    <row r="179" spans="1:15" x14ac:dyDescent="0.35">
      <c r="A179" s="93" t="s">
        <v>40</v>
      </c>
      <c r="B179" s="94">
        <v>4001</v>
      </c>
      <c r="C179" s="94">
        <v>39</v>
      </c>
      <c r="D179" s="95" t="s">
        <v>266</v>
      </c>
      <c r="E179" s="96"/>
      <c r="F179" s="59" t="s">
        <v>113</v>
      </c>
      <c r="G179" s="58" t="s">
        <v>110</v>
      </c>
      <c r="H179" s="83" t="s">
        <v>288</v>
      </c>
      <c r="I179" s="113" t="s">
        <v>82</v>
      </c>
      <c r="J179" s="116">
        <v>45804</v>
      </c>
      <c r="K179" s="98">
        <v>3</v>
      </c>
      <c r="L179" s="99"/>
      <c r="M179" s="100" t="s">
        <v>170</v>
      </c>
      <c r="N179" s="101">
        <f>IF(J179&gt;0,WEEKNUM(J179,1),"")</f>
        <v>22</v>
      </c>
      <c r="O179" s="102" t="str">
        <f>IF(J179&gt;0,TEXT(J179,"Mmm-yy"),"")</f>
        <v>May-25</v>
      </c>
    </row>
    <row r="180" spans="1:15" x14ac:dyDescent="0.35">
      <c r="A180" s="93" t="s">
        <v>40</v>
      </c>
      <c r="B180" s="94">
        <v>10001</v>
      </c>
      <c r="C180" s="94">
        <v>6</v>
      </c>
      <c r="D180" s="127" t="s">
        <v>88</v>
      </c>
      <c r="E180" s="96"/>
      <c r="F180" s="126" t="s">
        <v>113</v>
      </c>
      <c r="G180" s="59" t="s">
        <v>209</v>
      </c>
      <c r="H180" s="83" t="s">
        <v>289</v>
      </c>
      <c r="I180" s="128" t="s">
        <v>82</v>
      </c>
      <c r="J180" s="116">
        <v>45804</v>
      </c>
      <c r="K180" s="98">
        <v>6</v>
      </c>
      <c r="L180" s="129"/>
      <c r="M180" s="100" t="s">
        <v>170</v>
      </c>
      <c r="N180" s="101">
        <f t="shared" ref="N180:N187" si="37">IF(J180&gt;0,WEEKNUM(J180,1),"")</f>
        <v>22</v>
      </c>
      <c r="O180" s="102" t="str">
        <f t="shared" si="36"/>
        <v>May-25</v>
      </c>
    </row>
    <row r="181" spans="1:15" x14ac:dyDescent="0.35">
      <c r="A181" s="93" t="s">
        <v>40</v>
      </c>
      <c r="B181" s="94">
        <v>4001</v>
      </c>
      <c r="C181" s="94">
        <v>37</v>
      </c>
      <c r="D181" s="95" t="s">
        <v>254</v>
      </c>
      <c r="E181" s="96"/>
      <c r="F181" s="126" t="s">
        <v>113</v>
      </c>
      <c r="G181" s="59" t="s">
        <v>236</v>
      </c>
      <c r="H181" s="121" t="s">
        <v>290</v>
      </c>
      <c r="I181" s="128" t="s">
        <v>82</v>
      </c>
      <c r="J181" s="116">
        <v>45805</v>
      </c>
      <c r="K181" s="98">
        <v>2</v>
      </c>
      <c r="L181" s="99"/>
      <c r="M181" s="100" t="s">
        <v>170</v>
      </c>
      <c r="N181" s="101">
        <f t="shared" si="37"/>
        <v>22</v>
      </c>
      <c r="O181" s="102" t="str">
        <f t="shared" si="36"/>
        <v>May-25</v>
      </c>
    </row>
    <row r="182" spans="1:15" x14ac:dyDescent="0.35">
      <c r="A182" s="93" t="s">
        <v>40</v>
      </c>
      <c r="B182" s="94">
        <v>10001</v>
      </c>
      <c r="C182" s="94">
        <v>6</v>
      </c>
      <c r="D182" s="127" t="s">
        <v>88</v>
      </c>
      <c r="E182" s="96"/>
      <c r="F182" s="126" t="s">
        <v>113</v>
      </c>
      <c r="G182" s="59" t="s">
        <v>209</v>
      </c>
      <c r="H182" s="83" t="s">
        <v>291</v>
      </c>
      <c r="I182" s="128" t="s">
        <v>82</v>
      </c>
      <c r="J182" s="116">
        <v>45805</v>
      </c>
      <c r="K182" s="98">
        <v>7</v>
      </c>
      <c r="L182" s="99"/>
      <c r="M182" s="100" t="s">
        <v>170</v>
      </c>
      <c r="N182" s="101">
        <f t="shared" si="37"/>
        <v>22</v>
      </c>
      <c r="O182" s="102" t="str">
        <f t="shared" si="36"/>
        <v>May-25</v>
      </c>
    </row>
    <row r="183" spans="1:15" x14ac:dyDescent="0.35">
      <c r="A183" s="93" t="s">
        <v>40</v>
      </c>
      <c r="B183" s="94">
        <v>4001</v>
      </c>
      <c r="C183" s="94">
        <v>37</v>
      </c>
      <c r="D183" s="95" t="s">
        <v>254</v>
      </c>
      <c r="E183" s="96"/>
      <c r="F183" s="126" t="s">
        <v>113</v>
      </c>
      <c r="G183" s="59" t="s">
        <v>236</v>
      </c>
      <c r="H183" s="121" t="s">
        <v>292</v>
      </c>
      <c r="I183" s="128" t="s">
        <v>82</v>
      </c>
      <c r="J183" s="116">
        <v>45806</v>
      </c>
      <c r="K183" s="98">
        <v>5</v>
      </c>
      <c r="L183" s="99"/>
      <c r="M183" s="100" t="s">
        <v>170</v>
      </c>
      <c r="N183" s="101">
        <f t="shared" si="37"/>
        <v>22</v>
      </c>
      <c r="O183" s="102" t="str">
        <f t="shared" si="36"/>
        <v>May-25</v>
      </c>
    </row>
    <row r="184" spans="1:15" x14ac:dyDescent="0.35">
      <c r="A184" s="103" t="s">
        <v>40</v>
      </c>
      <c r="B184" s="104">
        <v>10001</v>
      </c>
      <c r="C184" s="104">
        <v>6</v>
      </c>
      <c r="D184" s="130" t="s">
        <v>88</v>
      </c>
      <c r="E184" s="106"/>
      <c r="F184" s="131" t="s">
        <v>113</v>
      </c>
      <c r="G184" s="77" t="s">
        <v>209</v>
      </c>
      <c r="H184" s="84" t="s">
        <v>293</v>
      </c>
      <c r="I184" s="132" t="s">
        <v>82</v>
      </c>
      <c r="J184" s="117">
        <v>45806</v>
      </c>
      <c r="K184" s="108">
        <v>4</v>
      </c>
      <c r="L184" s="109"/>
      <c r="M184" s="110" t="s">
        <v>170</v>
      </c>
      <c r="N184" s="111">
        <f t="shared" si="37"/>
        <v>22</v>
      </c>
      <c r="O184" s="112" t="str">
        <f t="shared" si="36"/>
        <v>May-25</v>
      </c>
    </row>
    <row r="185" spans="1:15" ht="15.5" x14ac:dyDescent="0.35">
      <c r="A185" s="139" t="s">
        <v>40</v>
      </c>
      <c r="B185" s="94">
        <v>4001</v>
      </c>
      <c r="C185" s="94">
        <v>38</v>
      </c>
      <c r="D185" s="95" t="s">
        <v>246</v>
      </c>
      <c r="E185" s="96"/>
      <c r="F185" s="59" t="s">
        <v>113</v>
      </c>
      <c r="G185" s="58" t="s">
        <v>247</v>
      </c>
      <c r="H185" s="83" t="s">
        <v>294</v>
      </c>
      <c r="I185" s="113" t="s">
        <v>82</v>
      </c>
      <c r="J185" s="116">
        <v>45810</v>
      </c>
      <c r="K185" s="98">
        <v>5</v>
      </c>
      <c r="L185" s="134"/>
      <c r="M185" s="100" t="s">
        <v>170</v>
      </c>
      <c r="N185" s="101">
        <f t="shared" si="37"/>
        <v>23</v>
      </c>
      <c r="O185" s="102" t="str">
        <f t="shared" si="36"/>
        <v>Jun-25</v>
      </c>
    </row>
    <row r="186" spans="1:15" ht="15.5" x14ac:dyDescent="0.35">
      <c r="A186" s="93" t="s">
        <v>40</v>
      </c>
      <c r="B186" s="94">
        <v>10001</v>
      </c>
      <c r="C186" s="94">
        <v>6</v>
      </c>
      <c r="D186" s="127" t="s">
        <v>88</v>
      </c>
      <c r="E186" s="96"/>
      <c r="F186" s="126" t="s">
        <v>113</v>
      </c>
      <c r="G186" s="59" t="s">
        <v>209</v>
      </c>
      <c r="H186" s="83" t="s">
        <v>269</v>
      </c>
      <c r="I186" s="113" t="s">
        <v>82</v>
      </c>
      <c r="J186" s="116">
        <v>45810</v>
      </c>
      <c r="K186" s="98">
        <v>4</v>
      </c>
      <c r="L186" s="134"/>
      <c r="M186" s="100" t="s">
        <v>170</v>
      </c>
      <c r="N186" s="101">
        <f t="shared" si="37"/>
        <v>23</v>
      </c>
      <c r="O186" s="102" t="str">
        <f t="shared" si="36"/>
        <v>Jun-25</v>
      </c>
    </row>
    <row r="187" spans="1:15" ht="43.5" x14ac:dyDescent="0.35">
      <c r="A187" s="93" t="s">
        <v>40</v>
      </c>
      <c r="B187" s="94">
        <v>4001</v>
      </c>
      <c r="C187" s="94">
        <v>37</v>
      </c>
      <c r="D187" s="95" t="s">
        <v>254</v>
      </c>
      <c r="E187" s="96"/>
      <c r="F187" s="126" t="s">
        <v>113</v>
      </c>
      <c r="G187" s="59" t="s">
        <v>236</v>
      </c>
      <c r="H187" s="121" t="s">
        <v>295</v>
      </c>
      <c r="I187" s="113" t="s">
        <v>82</v>
      </c>
      <c r="J187" s="116">
        <v>45811</v>
      </c>
      <c r="K187" s="98">
        <v>9</v>
      </c>
      <c r="L187" s="99"/>
      <c r="M187" s="100" t="s">
        <v>170</v>
      </c>
      <c r="N187" s="101">
        <f t="shared" si="37"/>
        <v>23</v>
      </c>
      <c r="O187" s="102" t="str">
        <f t="shared" si="36"/>
        <v>Jun-25</v>
      </c>
    </row>
    <row r="188" spans="1:15" x14ac:dyDescent="0.35">
      <c r="A188" s="93" t="s">
        <v>40</v>
      </c>
      <c r="B188" s="94">
        <v>4001</v>
      </c>
      <c r="C188" s="94">
        <v>37</v>
      </c>
      <c r="D188" s="95" t="s">
        <v>254</v>
      </c>
      <c r="E188" s="96"/>
      <c r="F188" s="59" t="s">
        <v>113</v>
      </c>
      <c r="G188" s="59" t="s">
        <v>236</v>
      </c>
      <c r="H188" s="83" t="s">
        <v>296</v>
      </c>
      <c r="I188" s="113" t="s">
        <v>82</v>
      </c>
      <c r="J188" s="116">
        <v>45812</v>
      </c>
      <c r="K188" s="98">
        <v>2</v>
      </c>
      <c r="L188" s="99"/>
      <c r="M188" s="100" t="s">
        <v>170</v>
      </c>
      <c r="N188" s="101">
        <f>IF(J188&gt;0,WEEKNUM(J188,1),"")</f>
        <v>23</v>
      </c>
      <c r="O188" s="102" t="str">
        <f>IF(J188&gt;0,TEXT(J188,"Mmm-yy"),"")</f>
        <v>Jun-25</v>
      </c>
    </row>
    <row r="189" spans="1:15" x14ac:dyDescent="0.35">
      <c r="A189" s="93" t="s">
        <v>40</v>
      </c>
      <c r="B189" s="94">
        <v>1001</v>
      </c>
      <c r="C189" s="94">
        <v>44</v>
      </c>
      <c r="D189" s="95" t="s">
        <v>297</v>
      </c>
      <c r="E189" s="96"/>
      <c r="F189" s="126" t="s">
        <v>113</v>
      </c>
      <c r="G189" s="59" t="s">
        <v>236</v>
      </c>
      <c r="H189" s="83" t="s">
        <v>298</v>
      </c>
      <c r="I189" s="128" t="s">
        <v>82</v>
      </c>
      <c r="J189" s="116">
        <v>45812</v>
      </c>
      <c r="K189" s="98">
        <v>7</v>
      </c>
      <c r="L189" s="129"/>
      <c r="M189" s="100" t="s">
        <v>170</v>
      </c>
      <c r="N189" s="101">
        <f t="shared" ref="N189:N195" si="38">IF(J189&gt;0,WEEKNUM(J189,1),"")</f>
        <v>23</v>
      </c>
      <c r="O189" s="102" t="str">
        <f t="shared" si="36"/>
        <v>Jun-25</v>
      </c>
    </row>
    <row r="190" spans="1:15" x14ac:dyDescent="0.35">
      <c r="A190" s="93" t="s">
        <v>40</v>
      </c>
      <c r="B190" s="94">
        <v>1001</v>
      </c>
      <c r="C190" s="94">
        <v>37</v>
      </c>
      <c r="D190" s="95" t="s">
        <v>297</v>
      </c>
      <c r="E190" s="96"/>
      <c r="F190" s="126" t="s">
        <v>113</v>
      </c>
      <c r="G190" s="59" t="s">
        <v>236</v>
      </c>
      <c r="H190" s="83" t="s">
        <v>299</v>
      </c>
      <c r="I190" s="128" t="s">
        <v>82</v>
      </c>
      <c r="J190" s="116">
        <v>45813</v>
      </c>
      <c r="K190" s="98">
        <v>5</v>
      </c>
      <c r="L190" s="99"/>
      <c r="M190" s="100" t="s">
        <v>170</v>
      </c>
      <c r="N190" s="101">
        <f t="shared" si="38"/>
        <v>23</v>
      </c>
      <c r="O190" s="102" t="str">
        <f t="shared" si="36"/>
        <v>Jun-25</v>
      </c>
    </row>
    <row r="191" spans="1:15" x14ac:dyDescent="0.35">
      <c r="A191" s="93" t="s">
        <v>40</v>
      </c>
      <c r="B191" s="94">
        <v>1001</v>
      </c>
      <c r="C191" s="94">
        <v>45</v>
      </c>
      <c r="D191" s="127" t="s">
        <v>300</v>
      </c>
      <c r="E191" s="96"/>
      <c r="F191" s="126" t="s">
        <v>113</v>
      </c>
      <c r="G191" s="59" t="s">
        <v>236</v>
      </c>
      <c r="H191" s="83" t="s">
        <v>301</v>
      </c>
      <c r="I191" s="128" t="s">
        <v>82</v>
      </c>
      <c r="J191" s="116">
        <v>45813</v>
      </c>
      <c r="K191" s="98">
        <v>4</v>
      </c>
      <c r="L191" s="99"/>
      <c r="M191" s="100" t="s">
        <v>170</v>
      </c>
      <c r="N191" s="101">
        <f t="shared" si="38"/>
        <v>23</v>
      </c>
      <c r="O191" s="102" t="str">
        <f t="shared" si="36"/>
        <v>Jun-25</v>
      </c>
    </row>
    <row r="192" spans="1:15" ht="29" x14ac:dyDescent="0.35">
      <c r="A192" s="103" t="s">
        <v>40</v>
      </c>
      <c r="B192" s="104">
        <v>4001</v>
      </c>
      <c r="C192" s="104">
        <v>37</v>
      </c>
      <c r="D192" s="105" t="s">
        <v>254</v>
      </c>
      <c r="E192" s="106"/>
      <c r="F192" s="131" t="s">
        <v>113</v>
      </c>
      <c r="G192" s="77" t="s">
        <v>236</v>
      </c>
      <c r="H192" s="84" t="s">
        <v>302</v>
      </c>
      <c r="I192" s="132" t="s">
        <v>82</v>
      </c>
      <c r="J192" s="117">
        <v>45814</v>
      </c>
      <c r="K192" s="108">
        <v>9</v>
      </c>
      <c r="L192" s="109"/>
      <c r="M192" s="110" t="s">
        <v>170</v>
      </c>
      <c r="N192" s="111">
        <f t="shared" si="38"/>
        <v>23</v>
      </c>
      <c r="O192" s="112" t="str">
        <f t="shared" si="36"/>
        <v>Jun-25</v>
      </c>
    </row>
    <row r="193" spans="1:15" ht="15.5" x14ac:dyDescent="0.35">
      <c r="A193" s="139" t="s">
        <v>40</v>
      </c>
      <c r="B193" s="94">
        <v>10001</v>
      </c>
      <c r="C193" s="94">
        <v>6</v>
      </c>
      <c r="D193" s="95" t="s">
        <v>88</v>
      </c>
      <c r="E193" s="96"/>
      <c r="F193" s="59" t="s">
        <v>113</v>
      </c>
      <c r="G193" s="58" t="s">
        <v>184</v>
      </c>
      <c r="H193" s="83" t="s">
        <v>196</v>
      </c>
      <c r="I193" s="113" t="s">
        <v>82</v>
      </c>
      <c r="J193" s="116">
        <v>45817</v>
      </c>
      <c r="K193" s="98">
        <v>9</v>
      </c>
      <c r="L193" s="134"/>
      <c r="M193" s="100" t="s">
        <v>170</v>
      </c>
      <c r="N193" s="101">
        <f t="shared" si="38"/>
        <v>24</v>
      </c>
      <c r="O193" s="102" t="str">
        <f t="shared" si="36"/>
        <v>Jun-25</v>
      </c>
    </row>
    <row r="194" spans="1:15" ht="15.5" x14ac:dyDescent="0.35">
      <c r="A194" s="93" t="s">
        <v>40</v>
      </c>
      <c r="B194" s="94">
        <v>10001</v>
      </c>
      <c r="C194" s="94">
        <v>6</v>
      </c>
      <c r="D194" s="95" t="s">
        <v>88</v>
      </c>
      <c r="E194" s="96"/>
      <c r="F194" s="59" t="s">
        <v>113</v>
      </c>
      <c r="G194" s="58" t="s">
        <v>184</v>
      </c>
      <c r="H194" s="83" t="s">
        <v>211</v>
      </c>
      <c r="I194" s="113" t="s">
        <v>82</v>
      </c>
      <c r="J194" s="116">
        <v>45818</v>
      </c>
      <c r="K194" s="98">
        <v>9</v>
      </c>
      <c r="L194" s="134"/>
      <c r="M194" s="100" t="s">
        <v>170</v>
      </c>
      <c r="N194" s="101">
        <f t="shared" si="38"/>
        <v>24</v>
      </c>
      <c r="O194" s="102" t="str">
        <f t="shared" si="36"/>
        <v>Jun-25</v>
      </c>
    </row>
    <row r="195" spans="1:15" ht="29" x14ac:dyDescent="0.35">
      <c r="A195" s="93" t="s">
        <v>40</v>
      </c>
      <c r="B195" s="94">
        <v>4001</v>
      </c>
      <c r="C195" s="94">
        <v>37</v>
      </c>
      <c r="D195" s="95" t="s">
        <v>254</v>
      </c>
      <c r="E195" s="96"/>
      <c r="F195" s="126" t="s">
        <v>113</v>
      </c>
      <c r="G195" s="59" t="s">
        <v>236</v>
      </c>
      <c r="H195" s="121" t="s">
        <v>303</v>
      </c>
      <c r="I195" s="113" t="s">
        <v>82</v>
      </c>
      <c r="J195" s="116">
        <v>45819</v>
      </c>
      <c r="K195" s="98">
        <v>4</v>
      </c>
      <c r="L195" s="99"/>
      <c r="M195" s="100" t="s">
        <v>170</v>
      </c>
      <c r="N195" s="101">
        <f t="shared" si="38"/>
        <v>24</v>
      </c>
      <c r="O195" s="102" t="str">
        <f t="shared" si="36"/>
        <v>Jun-25</v>
      </c>
    </row>
    <row r="196" spans="1:15" x14ac:dyDescent="0.35">
      <c r="A196" s="93" t="s">
        <v>40</v>
      </c>
      <c r="B196" s="94">
        <v>10001</v>
      </c>
      <c r="C196" s="94">
        <v>6</v>
      </c>
      <c r="D196" s="95" t="s">
        <v>88</v>
      </c>
      <c r="E196" s="96"/>
      <c r="F196" s="59" t="s">
        <v>113</v>
      </c>
      <c r="G196" s="58" t="s">
        <v>184</v>
      </c>
      <c r="H196" s="83" t="s">
        <v>226</v>
      </c>
      <c r="I196" s="113" t="s">
        <v>82</v>
      </c>
      <c r="J196" s="116">
        <v>45819</v>
      </c>
      <c r="K196" s="98">
        <v>5</v>
      </c>
      <c r="L196" s="99"/>
      <c r="M196" s="100" t="s">
        <v>170</v>
      </c>
      <c r="N196" s="101">
        <f>IF(J196&gt;0,WEEKNUM(J196,1),"")</f>
        <v>24</v>
      </c>
      <c r="O196" s="102" t="str">
        <f>IF(J196&gt;0,TEXT(J196,"Mmm-yy"),"")</f>
        <v>Jun-25</v>
      </c>
    </row>
    <row r="197" spans="1:15" ht="29" x14ac:dyDescent="0.35">
      <c r="A197" s="93" t="s">
        <v>40</v>
      </c>
      <c r="B197" s="94">
        <v>4001</v>
      </c>
      <c r="C197" s="94">
        <v>37</v>
      </c>
      <c r="D197" s="95" t="s">
        <v>254</v>
      </c>
      <c r="E197" s="96"/>
      <c r="F197" s="126" t="s">
        <v>113</v>
      </c>
      <c r="G197" s="59" t="s">
        <v>236</v>
      </c>
      <c r="H197" s="121" t="s">
        <v>304</v>
      </c>
      <c r="I197" s="113" t="s">
        <v>82</v>
      </c>
      <c r="J197" s="116">
        <v>45820</v>
      </c>
      <c r="K197" s="98">
        <v>3</v>
      </c>
      <c r="L197" s="99"/>
      <c r="M197" s="100" t="s">
        <v>170</v>
      </c>
      <c r="N197" s="101">
        <f>IF(J197&gt;0,WEEKNUM(J197,1),"")</f>
        <v>24</v>
      </c>
      <c r="O197" s="102" t="str">
        <f>IF(J197&gt;0,TEXT(J197,"Mmm-yy"),"")</f>
        <v>Jun-25</v>
      </c>
    </row>
    <row r="198" spans="1:15" x14ac:dyDescent="0.35">
      <c r="A198" s="93" t="s">
        <v>40</v>
      </c>
      <c r="B198" s="94">
        <v>10001</v>
      </c>
      <c r="C198" s="94">
        <v>6</v>
      </c>
      <c r="D198" s="95" t="s">
        <v>88</v>
      </c>
      <c r="E198" s="96"/>
      <c r="F198" s="59" t="s">
        <v>113</v>
      </c>
      <c r="G198" s="58" t="s">
        <v>247</v>
      </c>
      <c r="H198" s="83" t="s">
        <v>157</v>
      </c>
      <c r="I198" s="113" t="s">
        <v>82</v>
      </c>
      <c r="J198" s="116">
        <v>45820</v>
      </c>
      <c r="K198" s="98">
        <v>6</v>
      </c>
      <c r="L198" s="129"/>
      <c r="M198" s="100" t="s">
        <v>170</v>
      </c>
      <c r="N198" s="101">
        <f t="shared" ref="N198:N208" si="39">IF(J198&gt;0,WEEKNUM(J198,1),"")</f>
        <v>24</v>
      </c>
      <c r="O198" s="102" t="str">
        <f t="shared" si="36"/>
        <v>Jun-25</v>
      </c>
    </row>
    <row r="199" spans="1:15" ht="29" x14ac:dyDescent="0.35">
      <c r="A199" s="93" t="s">
        <v>40</v>
      </c>
      <c r="B199" s="94">
        <v>4001</v>
      </c>
      <c r="C199" s="94">
        <v>37</v>
      </c>
      <c r="D199" s="95" t="s">
        <v>305</v>
      </c>
      <c r="E199" s="96"/>
      <c r="F199" s="126" t="s">
        <v>113</v>
      </c>
      <c r="G199" s="59" t="s">
        <v>236</v>
      </c>
      <c r="H199" s="83" t="s">
        <v>306</v>
      </c>
      <c r="I199" s="128" t="s">
        <v>82</v>
      </c>
      <c r="J199" s="116">
        <v>45821</v>
      </c>
      <c r="K199" s="98">
        <v>6</v>
      </c>
      <c r="L199" s="99"/>
      <c r="M199" s="100" t="s">
        <v>170</v>
      </c>
      <c r="N199" s="101">
        <f t="shared" si="39"/>
        <v>24</v>
      </c>
      <c r="O199" s="102" t="str">
        <f t="shared" si="36"/>
        <v>Jun-25</v>
      </c>
    </row>
    <row r="200" spans="1:15" x14ac:dyDescent="0.35">
      <c r="A200" s="103" t="s">
        <v>40</v>
      </c>
      <c r="B200" s="104">
        <v>4001</v>
      </c>
      <c r="C200" s="104">
        <v>45</v>
      </c>
      <c r="D200" s="130" t="s">
        <v>307</v>
      </c>
      <c r="E200" s="106"/>
      <c r="F200" s="131" t="s">
        <v>113</v>
      </c>
      <c r="G200" s="77" t="s">
        <v>110</v>
      </c>
      <c r="H200" s="84" t="s">
        <v>308</v>
      </c>
      <c r="I200" s="132" t="s">
        <v>82</v>
      </c>
      <c r="J200" s="117">
        <v>45821</v>
      </c>
      <c r="K200" s="108">
        <v>3</v>
      </c>
      <c r="L200" s="109"/>
      <c r="M200" s="110" t="s">
        <v>170</v>
      </c>
      <c r="N200" s="111">
        <f t="shared" si="39"/>
        <v>24</v>
      </c>
      <c r="O200" s="112" t="str">
        <f t="shared" si="36"/>
        <v>Jun-25</v>
      </c>
    </row>
    <row r="201" spans="1:15" ht="15.5" x14ac:dyDescent="0.35">
      <c r="A201" s="136" t="s">
        <v>40</v>
      </c>
      <c r="B201" s="49">
        <v>10001</v>
      </c>
      <c r="C201" s="49">
        <v>6</v>
      </c>
      <c r="D201" s="58" t="s">
        <v>88</v>
      </c>
      <c r="E201" s="72"/>
      <c r="F201" s="59" t="s">
        <v>113</v>
      </c>
      <c r="G201" s="58" t="s">
        <v>184</v>
      </c>
      <c r="H201" s="72" t="s">
        <v>196</v>
      </c>
      <c r="I201" s="137" t="s">
        <v>82</v>
      </c>
      <c r="J201" s="115">
        <v>45824</v>
      </c>
      <c r="K201" s="60">
        <v>2</v>
      </c>
      <c r="L201" s="138"/>
      <c r="M201" s="48" t="s">
        <v>170</v>
      </c>
      <c r="N201" s="61">
        <f t="shared" si="39"/>
        <v>25</v>
      </c>
      <c r="O201" s="62" t="str">
        <f t="shared" si="36"/>
        <v>Jun-25</v>
      </c>
    </row>
    <row r="202" spans="1:15" ht="15.5" x14ac:dyDescent="0.35">
      <c r="A202" s="136" t="s">
        <v>40</v>
      </c>
      <c r="B202" s="49">
        <v>11001</v>
      </c>
      <c r="C202" s="49"/>
      <c r="D202" s="58" t="s">
        <v>309</v>
      </c>
      <c r="E202" s="72"/>
      <c r="F202" s="126" t="s">
        <v>113</v>
      </c>
      <c r="G202" s="59" t="s">
        <v>236</v>
      </c>
      <c r="H202" s="72" t="s">
        <v>310</v>
      </c>
      <c r="I202" s="137" t="s">
        <v>82</v>
      </c>
      <c r="J202" s="115">
        <v>45824</v>
      </c>
      <c r="K202" s="60">
        <v>0.5</v>
      </c>
      <c r="L202" s="138"/>
      <c r="M202" s="48" t="s">
        <v>170</v>
      </c>
      <c r="N202" s="61">
        <f>IF(J202&gt;0,WEEKNUM(J202,1),"")</f>
        <v>25</v>
      </c>
      <c r="O202" s="62" t="str">
        <f>IF(J202&gt;0,TEXT(J202,"Mmm-yy"),"")</f>
        <v>Jun-25</v>
      </c>
    </row>
    <row r="203" spans="1:15" ht="45.5" customHeight="1" x14ac:dyDescent="0.35">
      <c r="A203" s="48" t="s">
        <v>40</v>
      </c>
      <c r="B203" s="49">
        <v>2001</v>
      </c>
      <c r="C203" s="49">
        <v>45</v>
      </c>
      <c r="D203" s="58" t="s">
        <v>309</v>
      </c>
      <c r="E203" s="72"/>
      <c r="F203" s="126" t="s">
        <v>113</v>
      </c>
      <c r="G203" s="59" t="s">
        <v>236</v>
      </c>
      <c r="H203" s="135" t="s">
        <v>311</v>
      </c>
      <c r="I203" s="137" t="s">
        <v>82</v>
      </c>
      <c r="J203" s="115">
        <v>45824</v>
      </c>
      <c r="K203" s="60">
        <v>6.5</v>
      </c>
      <c r="L203" s="138"/>
      <c r="M203" s="48" t="s">
        <v>170</v>
      </c>
      <c r="N203" s="61">
        <f t="shared" si="39"/>
        <v>25</v>
      </c>
      <c r="O203" s="62" t="str">
        <f t="shared" si="36"/>
        <v>Jun-25</v>
      </c>
    </row>
    <row r="204" spans="1:15" ht="15.5" x14ac:dyDescent="0.35">
      <c r="A204" s="48" t="s">
        <v>40</v>
      </c>
      <c r="B204" s="49">
        <v>2001</v>
      </c>
      <c r="C204" s="49">
        <v>45</v>
      </c>
      <c r="D204" s="58" t="s">
        <v>309</v>
      </c>
      <c r="E204" s="72"/>
      <c r="F204" s="126" t="s">
        <v>113</v>
      </c>
      <c r="G204" s="59" t="s">
        <v>236</v>
      </c>
      <c r="H204" s="72" t="s">
        <v>312</v>
      </c>
      <c r="I204" s="137" t="s">
        <v>82</v>
      </c>
      <c r="J204" s="115">
        <v>45825</v>
      </c>
      <c r="K204" s="60">
        <v>9</v>
      </c>
      <c r="L204" s="138"/>
      <c r="M204" s="48" t="s">
        <v>170</v>
      </c>
      <c r="N204" s="61">
        <f t="shared" si="39"/>
        <v>25</v>
      </c>
      <c r="O204" s="62" t="str">
        <f t="shared" ref="O204:O211" si="40">IF(J204&gt;0,TEXT(J204,"Mmm-yy"),"")</f>
        <v>Jun-25</v>
      </c>
    </row>
    <row r="205" spans="1:15" ht="15.5" x14ac:dyDescent="0.35">
      <c r="A205" s="137" t="s">
        <v>40</v>
      </c>
      <c r="B205" s="49">
        <v>10001</v>
      </c>
      <c r="C205" s="49">
        <v>6</v>
      </c>
      <c r="D205" s="58" t="s">
        <v>88</v>
      </c>
      <c r="E205" s="72"/>
      <c r="F205" s="59" t="s">
        <v>113</v>
      </c>
      <c r="G205" s="58" t="s">
        <v>184</v>
      </c>
      <c r="H205" s="72" t="s">
        <v>313</v>
      </c>
      <c r="I205" s="137" t="s">
        <v>82</v>
      </c>
      <c r="J205" s="115">
        <v>45826</v>
      </c>
      <c r="K205" s="60">
        <v>7</v>
      </c>
      <c r="L205" s="138"/>
      <c r="M205" s="48" t="s">
        <v>170</v>
      </c>
      <c r="N205" s="61">
        <f t="shared" si="39"/>
        <v>25</v>
      </c>
      <c r="O205" s="62" t="str">
        <f t="shared" si="40"/>
        <v>Jun-25</v>
      </c>
    </row>
    <row r="206" spans="1:15" ht="15.5" x14ac:dyDescent="0.35">
      <c r="A206" s="48" t="s">
        <v>40</v>
      </c>
      <c r="B206" s="49">
        <v>4001</v>
      </c>
      <c r="C206" s="49">
        <v>45</v>
      </c>
      <c r="D206" s="58" t="s">
        <v>309</v>
      </c>
      <c r="E206" s="72"/>
      <c r="F206" s="126" t="s">
        <v>113</v>
      </c>
      <c r="G206" s="59" t="s">
        <v>236</v>
      </c>
      <c r="H206" s="72" t="s">
        <v>314</v>
      </c>
      <c r="I206" s="137" t="s">
        <v>82</v>
      </c>
      <c r="J206" s="115">
        <v>45826</v>
      </c>
      <c r="K206" s="60">
        <v>2</v>
      </c>
      <c r="L206" s="138"/>
      <c r="M206" s="48" t="s">
        <v>170</v>
      </c>
      <c r="N206" s="61">
        <f t="shared" si="39"/>
        <v>25</v>
      </c>
      <c r="O206" s="62" t="str">
        <f t="shared" si="40"/>
        <v>Jun-25</v>
      </c>
    </row>
    <row r="207" spans="1:15" ht="15.5" x14ac:dyDescent="0.35">
      <c r="A207" s="137" t="s">
        <v>40</v>
      </c>
      <c r="B207" s="49">
        <v>10001</v>
      </c>
      <c r="C207" s="49">
        <v>6</v>
      </c>
      <c r="D207" s="58" t="s">
        <v>88</v>
      </c>
      <c r="E207" s="72"/>
      <c r="F207" s="59" t="s">
        <v>113</v>
      </c>
      <c r="G207" s="58" t="s">
        <v>184</v>
      </c>
      <c r="H207" s="72" t="s">
        <v>226</v>
      </c>
      <c r="I207" s="137" t="s">
        <v>82</v>
      </c>
      <c r="J207" s="115">
        <v>45827</v>
      </c>
      <c r="K207" s="60">
        <v>9</v>
      </c>
      <c r="L207" s="138"/>
      <c r="M207" s="48" t="s">
        <v>170</v>
      </c>
      <c r="N207" s="61">
        <f t="shared" si="39"/>
        <v>25</v>
      </c>
      <c r="O207" s="62" t="str">
        <f t="shared" si="40"/>
        <v>Jun-25</v>
      </c>
    </row>
    <row r="208" spans="1:15" ht="15.5" x14ac:dyDescent="0.35">
      <c r="A208" s="137" t="s">
        <v>40</v>
      </c>
      <c r="B208" s="49">
        <v>10001</v>
      </c>
      <c r="C208" s="49">
        <v>6</v>
      </c>
      <c r="D208" s="58" t="s">
        <v>88</v>
      </c>
      <c r="E208" s="72"/>
      <c r="F208" s="59" t="s">
        <v>113</v>
      </c>
      <c r="G208" s="58" t="s">
        <v>184</v>
      </c>
      <c r="H208" s="72" t="s">
        <v>315</v>
      </c>
      <c r="I208" s="137" t="s">
        <v>82</v>
      </c>
      <c r="J208" s="115">
        <v>45828</v>
      </c>
      <c r="K208" s="60">
        <v>9</v>
      </c>
      <c r="L208" s="138"/>
      <c r="M208" s="48" t="s">
        <v>170</v>
      </c>
      <c r="N208" s="61">
        <f t="shared" si="39"/>
        <v>25</v>
      </c>
      <c r="O208" s="62" t="str">
        <f t="shared" si="40"/>
        <v>Jun-25</v>
      </c>
    </row>
    <row r="209" spans="1:15" ht="15.5" x14ac:dyDescent="0.35">
      <c r="A209" s="140" t="s">
        <v>40</v>
      </c>
      <c r="B209" s="141">
        <v>2001</v>
      </c>
      <c r="C209" s="141">
        <v>45</v>
      </c>
      <c r="D209" s="142" t="s">
        <v>254</v>
      </c>
      <c r="E209" s="143"/>
      <c r="F209" s="144" t="s">
        <v>113</v>
      </c>
      <c r="G209" s="145" t="s">
        <v>236</v>
      </c>
      <c r="H209" s="146" t="s">
        <v>316</v>
      </c>
      <c r="I209" s="137" t="s">
        <v>82</v>
      </c>
      <c r="J209" s="115">
        <v>45831</v>
      </c>
      <c r="K209" s="147">
        <v>2</v>
      </c>
      <c r="L209" s="148"/>
      <c r="M209" s="137" t="s">
        <v>170</v>
      </c>
      <c r="N209" s="149">
        <f>IF(J209&gt;0,WEEKNUM(J209,1),"")</f>
        <v>26</v>
      </c>
      <c r="O209" s="150" t="str">
        <f t="shared" si="40"/>
        <v>Jun-25</v>
      </c>
    </row>
    <row r="210" spans="1:15" ht="15.5" x14ac:dyDescent="0.35">
      <c r="A210" s="136" t="s">
        <v>40</v>
      </c>
      <c r="B210" s="49">
        <v>10001</v>
      </c>
      <c r="C210" s="49">
        <v>6</v>
      </c>
      <c r="D210" s="58" t="s">
        <v>88</v>
      </c>
      <c r="E210" s="72"/>
      <c r="F210" s="59"/>
      <c r="G210" s="58"/>
      <c r="H210" s="72" t="s">
        <v>317</v>
      </c>
      <c r="I210" s="137" t="s">
        <v>82</v>
      </c>
      <c r="J210" s="115">
        <v>45831</v>
      </c>
      <c r="K210" s="60">
        <v>7</v>
      </c>
      <c r="L210" s="138"/>
      <c r="M210" s="48" t="s">
        <v>170</v>
      </c>
      <c r="N210" s="61">
        <f>IF(J210&gt;0,WEEKNUM(J210,1),"")</f>
        <v>26</v>
      </c>
      <c r="O210" s="62" t="str">
        <f t="shared" si="40"/>
        <v>Jun-25</v>
      </c>
    </row>
    <row r="211" spans="1:15" ht="15.5" x14ac:dyDescent="0.35">
      <c r="A211" s="140" t="s">
        <v>40</v>
      </c>
      <c r="B211" s="141">
        <v>2001</v>
      </c>
      <c r="C211" s="141">
        <v>45</v>
      </c>
      <c r="D211" s="142" t="s">
        <v>254</v>
      </c>
      <c r="E211" s="143"/>
      <c r="F211" s="144" t="s">
        <v>113</v>
      </c>
      <c r="G211" s="145" t="s">
        <v>236</v>
      </c>
      <c r="H211" s="146" t="s">
        <v>316</v>
      </c>
      <c r="I211" s="137" t="s">
        <v>82</v>
      </c>
      <c r="J211" s="115">
        <v>45832</v>
      </c>
      <c r="K211" s="147">
        <v>1</v>
      </c>
      <c r="L211" s="148"/>
      <c r="M211" s="137" t="s">
        <v>170</v>
      </c>
      <c r="N211" s="149">
        <f>IF(J211&gt;0,WEEKNUM(J211,1),"")</f>
        <v>26</v>
      </c>
      <c r="O211" s="150" t="str">
        <f t="shared" si="40"/>
        <v>Jun-25</v>
      </c>
    </row>
    <row r="212" spans="1:15" ht="15.5" x14ac:dyDescent="0.35">
      <c r="A212" s="48" t="s">
        <v>40</v>
      </c>
      <c r="B212" s="49">
        <v>10001</v>
      </c>
      <c r="C212" s="49">
        <v>6</v>
      </c>
      <c r="D212" s="58" t="s">
        <v>88</v>
      </c>
      <c r="E212" s="72"/>
      <c r="F212" s="59"/>
      <c r="G212" s="58"/>
      <c r="H212" s="72" t="s">
        <v>318</v>
      </c>
      <c r="I212" s="137" t="s">
        <v>82</v>
      </c>
      <c r="J212" s="115">
        <v>45832</v>
      </c>
      <c r="K212" s="60">
        <v>8</v>
      </c>
      <c r="L212" s="138"/>
      <c r="M212" s="48" t="s">
        <v>170</v>
      </c>
      <c r="N212" s="61">
        <f t="shared" ref="N212" si="41">IF(J212&gt;0,WEEKNUM(J212,1),"")</f>
        <v>26</v>
      </c>
      <c r="O212" s="62" t="str">
        <f t="shared" ref="O212" si="42">IF(J212&gt;0,TEXT(J212,"Mmm-yy"),"")</f>
        <v>Jun-25</v>
      </c>
    </row>
    <row r="213" spans="1:15" ht="15.5" x14ac:dyDescent="0.35">
      <c r="A213" s="137" t="s">
        <v>40</v>
      </c>
      <c r="B213" s="141">
        <v>10001</v>
      </c>
      <c r="C213" s="141">
        <v>6</v>
      </c>
      <c r="D213" s="151" t="s">
        <v>88</v>
      </c>
      <c r="E213" s="152"/>
      <c r="F213" s="145"/>
      <c r="G213" s="151"/>
      <c r="H213" s="152" t="s">
        <v>319</v>
      </c>
      <c r="I213" s="137" t="s">
        <v>82</v>
      </c>
      <c r="J213" s="115">
        <v>45833</v>
      </c>
      <c r="K213" s="147">
        <v>9</v>
      </c>
      <c r="L213" s="148"/>
      <c r="M213" s="137" t="s">
        <v>170</v>
      </c>
      <c r="N213" s="149">
        <f>IF(J213&gt;0,WEEKNUM(J213,1),"")</f>
        <v>26</v>
      </c>
      <c r="O213" s="150" t="str">
        <f>IF(J213&gt;0,TEXT(J213,"Mmm-yy"),"")</f>
        <v>Jun-25</v>
      </c>
    </row>
    <row r="214" spans="1:15" ht="15.5" x14ac:dyDescent="0.35">
      <c r="A214" s="137" t="s">
        <v>40</v>
      </c>
      <c r="B214" s="49">
        <v>10001</v>
      </c>
      <c r="C214" s="49">
        <v>6</v>
      </c>
      <c r="D214" s="58" t="s">
        <v>88</v>
      </c>
      <c r="E214" s="72"/>
      <c r="F214" s="59"/>
      <c r="G214" s="58"/>
      <c r="H214" s="72" t="s">
        <v>320</v>
      </c>
      <c r="I214" s="137" t="s">
        <v>82</v>
      </c>
      <c r="J214" s="115">
        <v>45834</v>
      </c>
      <c r="K214" s="60">
        <v>9</v>
      </c>
      <c r="L214" s="138"/>
      <c r="M214" s="48" t="s">
        <v>170</v>
      </c>
      <c r="N214" s="61">
        <f t="shared" ref="N214:N216" si="43">IF(J214&gt;0,WEEKNUM(J214,1),"")</f>
        <v>26</v>
      </c>
      <c r="O214" s="62" t="str">
        <f>IF(J214&gt;0,TEXT(J214,"Mmm-yy"),"")</f>
        <v>Jun-25</v>
      </c>
    </row>
    <row r="215" spans="1:15" ht="15.5" x14ac:dyDescent="0.35">
      <c r="A215" s="137" t="s">
        <v>40</v>
      </c>
      <c r="B215" s="141">
        <v>1001</v>
      </c>
      <c r="C215" s="141">
        <v>46</v>
      </c>
      <c r="D215" s="151" t="s">
        <v>321</v>
      </c>
      <c r="E215" s="152"/>
      <c r="F215" s="144" t="s">
        <v>113</v>
      </c>
      <c r="G215" s="145" t="s">
        <v>236</v>
      </c>
      <c r="H215" s="152" t="s">
        <v>322</v>
      </c>
      <c r="I215" s="137" t="s">
        <v>82</v>
      </c>
      <c r="J215" s="115">
        <v>45835</v>
      </c>
      <c r="K215" s="147">
        <v>2</v>
      </c>
      <c r="L215" s="148"/>
      <c r="M215" s="137" t="s">
        <v>170</v>
      </c>
      <c r="N215" s="149">
        <f t="shared" si="43"/>
        <v>26</v>
      </c>
      <c r="O215" s="150" t="str">
        <f>IF(J215&gt;0,TEXT(J215,"Mmm-yy"),"")</f>
        <v>Jun-25</v>
      </c>
    </row>
    <row r="216" spans="1:15" ht="15.5" x14ac:dyDescent="0.35">
      <c r="A216" s="137" t="s">
        <v>40</v>
      </c>
      <c r="B216" s="49">
        <v>10001</v>
      </c>
      <c r="C216" s="49">
        <v>6</v>
      </c>
      <c r="D216" s="58" t="s">
        <v>88</v>
      </c>
      <c r="E216" s="72"/>
      <c r="F216" s="59"/>
      <c r="G216" s="58"/>
      <c r="H216" s="72" t="s">
        <v>323</v>
      </c>
      <c r="I216" s="137" t="s">
        <v>82</v>
      </c>
      <c r="J216" s="115">
        <v>45835</v>
      </c>
      <c r="K216" s="60">
        <v>7</v>
      </c>
      <c r="L216" s="138"/>
      <c r="M216" s="48" t="s">
        <v>170</v>
      </c>
      <c r="N216" s="61">
        <f t="shared" si="43"/>
        <v>26</v>
      </c>
      <c r="O216" s="62" t="str">
        <f>IF(J216&gt;0,TEXT(J216,"Mmm-yy"),"")</f>
        <v>Jun-25</v>
      </c>
    </row>
    <row r="217" spans="1:15" ht="15.5" x14ac:dyDescent="0.35">
      <c r="A217" s="140" t="s">
        <v>40</v>
      </c>
      <c r="B217" s="141">
        <v>2001</v>
      </c>
      <c r="C217" s="141">
        <v>46</v>
      </c>
      <c r="D217" s="151" t="s">
        <v>321</v>
      </c>
      <c r="E217" s="152"/>
      <c r="F217" s="144" t="s">
        <v>113</v>
      </c>
      <c r="G217" s="145" t="s">
        <v>236</v>
      </c>
      <c r="H217" s="152" t="s">
        <v>324</v>
      </c>
      <c r="I217" s="137" t="s">
        <v>82</v>
      </c>
      <c r="J217" s="115">
        <v>45838</v>
      </c>
      <c r="K217" s="147">
        <v>3</v>
      </c>
      <c r="L217" s="148"/>
      <c r="M217" s="137" t="s">
        <v>170</v>
      </c>
      <c r="N217" s="149">
        <f>IF(J217&gt;0,WEEKNUM(J217,1),"")</f>
        <v>27</v>
      </c>
      <c r="O217" s="150" t="str">
        <f>IF(J217&gt;0,TEXT(J217,"Mmm-yy"),"")</f>
        <v>Jun-25</v>
      </c>
    </row>
    <row r="218" spans="1:15" ht="15.5" x14ac:dyDescent="0.35">
      <c r="A218" s="48" t="s">
        <v>40</v>
      </c>
      <c r="B218" s="49">
        <v>10001</v>
      </c>
      <c r="C218" s="49">
        <v>6</v>
      </c>
      <c r="D218" s="58" t="s">
        <v>88</v>
      </c>
      <c r="E218" s="72"/>
      <c r="F218" s="59"/>
      <c r="G218" s="58"/>
      <c r="H218" s="72" t="s">
        <v>325</v>
      </c>
      <c r="I218" s="137" t="s">
        <v>82</v>
      </c>
      <c r="J218" s="115">
        <v>45838</v>
      </c>
      <c r="K218" s="60">
        <v>6</v>
      </c>
      <c r="L218" s="138"/>
      <c r="M218" s="48" t="s">
        <v>170</v>
      </c>
      <c r="N218" s="61">
        <f t="shared" ref="N218" si="44">IF(J218&gt;0,WEEKNUM(J218,1),"")</f>
        <v>27</v>
      </c>
      <c r="O218" s="62" t="str">
        <f t="shared" ref="O218" si="45">IF(J218&gt;0,TEXT(J218,"Mmm-yy"),"")</f>
        <v>Jun-25</v>
      </c>
    </row>
    <row r="219" spans="1:15" ht="15.5" x14ac:dyDescent="0.35">
      <c r="A219" s="137" t="s">
        <v>40</v>
      </c>
      <c r="B219" s="141">
        <v>10001</v>
      </c>
      <c r="C219" s="141">
        <v>6</v>
      </c>
      <c r="D219" s="151" t="s">
        <v>88</v>
      </c>
      <c r="E219" s="152"/>
      <c r="F219" s="145"/>
      <c r="G219" s="151"/>
      <c r="H219" s="152" t="s">
        <v>326</v>
      </c>
      <c r="I219" s="137" t="s">
        <v>82</v>
      </c>
      <c r="J219" s="115">
        <v>45839</v>
      </c>
      <c r="K219" s="147">
        <v>9</v>
      </c>
      <c r="L219" s="148"/>
      <c r="M219" s="137" t="s">
        <v>170</v>
      </c>
      <c r="N219" s="149">
        <f>IF(J219&gt;0,WEEKNUM(J219,1),"")</f>
        <v>27</v>
      </c>
      <c r="O219" s="150" t="str">
        <f t="shared" ref="O219:O224" si="46">IF(J219&gt;0,TEXT(J219,"Mmm-yy"),"")</f>
        <v>Jul-25</v>
      </c>
    </row>
    <row r="220" spans="1:15" ht="15.5" x14ac:dyDescent="0.35">
      <c r="A220" s="137" t="s">
        <v>40</v>
      </c>
      <c r="B220" s="49">
        <v>10001</v>
      </c>
      <c r="C220" s="49">
        <v>6</v>
      </c>
      <c r="D220" s="58" t="s">
        <v>88</v>
      </c>
      <c r="E220" s="72"/>
      <c r="F220" s="59"/>
      <c r="G220" s="58"/>
      <c r="H220" s="72" t="s">
        <v>327</v>
      </c>
      <c r="I220" s="137" t="s">
        <v>82</v>
      </c>
      <c r="J220" s="115">
        <v>45840</v>
      </c>
      <c r="K220" s="60">
        <v>9</v>
      </c>
      <c r="L220" s="138"/>
      <c r="M220" s="48" t="s">
        <v>170</v>
      </c>
      <c r="N220" s="61">
        <f t="shared" ref="N220:N221" si="47">IF(J220&gt;0,WEEKNUM(J220,1),"")</f>
        <v>27</v>
      </c>
      <c r="O220" s="62" t="str">
        <f t="shared" si="46"/>
        <v>Jul-25</v>
      </c>
    </row>
    <row r="221" spans="1:15" ht="15.5" x14ac:dyDescent="0.35">
      <c r="A221" s="137" t="s">
        <v>40</v>
      </c>
      <c r="B221" s="141">
        <v>10001</v>
      </c>
      <c r="C221" s="141">
        <v>6</v>
      </c>
      <c r="D221" s="151" t="s">
        <v>88</v>
      </c>
      <c r="E221" s="152"/>
      <c r="F221" s="145"/>
      <c r="G221" s="151"/>
      <c r="H221" s="152" t="s">
        <v>328</v>
      </c>
      <c r="I221" s="137" t="s">
        <v>82</v>
      </c>
      <c r="J221" s="115">
        <v>45841</v>
      </c>
      <c r="K221" s="147">
        <v>9</v>
      </c>
      <c r="L221" s="148"/>
      <c r="M221" s="137" t="s">
        <v>170</v>
      </c>
      <c r="N221" s="149">
        <f t="shared" si="47"/>
        <v>27</v>
      </c>
      <c r="O221" s="150" t="str">
        <f t="shared" si="46"/>
        <v>Jul-25</v>
      </c>
    </row>
    <row r="222" spans="1:15" ht="15.5" x14ac:dyDescent="0.35">
      <c r="A222" s="136" t="s">
        <v>40</v>
      </c>
      <c r="B222" s="49">
        <v>2001</v>
      </c>
      <c r="C222" s="49">
        <v>47</v>
      </c>
      <c r="D222" s="58" t="s">
        <v>329</v>
      </c>
      <c r="E222" s="72"/>
      <c r="F222" s="126" t="s">
        <v>113</v>
      </c>
      <c r="G222" s="59" t="s">
        <v>236</v>
      </c>
      <c r="H222" s="72" t="s">
        <v>330</v>
      </c>
      <c r="I222" s="48" t="s">
        <v>82</v>
      </c>
      <c r="J222" s="115">
        <v>45842</v>
      </c>
      <c r="K222" s="60">
        <v>6</v>
      </c>
      <c r="L222" s="58"/>
      <c r="M222" s="48" t="s">
        <v>170</v>
      </c>
      <c r="N222" s="61">
        <f>IF(J222&gt;0,WEEKNUM(J222,1),"")</f>
        <v>27</v>
      </c>
      <c r="O222" s="62" t="str">
        <f t="shared" si="46"/>
        <v>Jul-25</v>
      </c>
    </row>
    <row r="223" spans="1:15" x14ac:dyDescent="0.35">
      <c r="A223" s="137" t="s">
        <v>40</v>
      </c>
      <c r="B223" s="141">
        <v>10001</v>
      </c>
      <c r="C223" s="141">
        <v>6</v>
      </c>
      <c r="D223" s="151" t="s">
        <v>88</v>
      </c>
      <c r="E223" s="152"/>
      <c r="F223" s="145"/>
      <c r="G223" s="151"/>
      <c r="H223" s="152" t="s">
        <v>331</v>
      </c>
      <c r="I223" s="137" t="s">
        <v>82</v>
      </c>
      <c r="J223" s="115">
        <v>45842</v>
      </c>
      <c r="K223" s="147">
        <v>3</v>
      </c>
      <c r="L223" s="151"/>
      <c r="M223" s="137" t="s">
        <v>170</v>
      </c>
      <c r="N223" s="149">
        <f>IF(J223&gt;0,WEEKNUM(J223,1),"")</f>
        <v>27</v>
      </c>
      <c r="O223" s="150" t="str">
        <f t="shared" si="46"/>
        <v>Jul-25</v>
      </c>
    </row>
    <row r="224" spans="1:15" ht="29" x14ac:dyDescent="0.35">
      <c r="A224" s="140" t="s">
        <v>40</v>
      </c>
      <c r="B224" s="141">
        <v>1001</v>
      </c>
      <c r="C224" s="141">
        <v>46</v>
      </c>
      <c r="D224" s="151" t="s">
        <v>332</v>
      </c>
      <c r="E224" s="152"/>
      <c r="F224" s="144" t="s">
        <v>113</v>
      </c>
      <c r="G224" s="145" t="s">
        <v>236</v>
      </c>
      <c r="H224" s="152" t="s">
        <v>333</v>
      </c>
      <c r="I224" s="137" t="s">
        <v>82</v>
      </c>
      <c r="J224" s="115">
        <v>45845</v>
      </c>
      <c r="K224" s="147">
        <v>5</v>
      </c>
      <c r="L224" s="148"/>
      <c r="M224" s="137" t="s">
        <v>170</v>
      </c>
      <c r="N224" s="149">
        <f>IF(J224&gt;0,WEEKNUM(J224,1),"")</f>
        <v>28</v>
      </c>
      <c r="O224" s="150" t="str">
        <f t="shared" si="46"/>
        <v>Jul-25</v>
      </c>
    </row>
    <row r="225" spans="1:15" ht="15.5" x14ac:dyDescent="0.35">
      <c r="A225" s="48" t="s">
        <v>40</v>
      </c>
      <c r="B225" s="49">
        <v>10001</v>
      </c>
      <c r="C225" s="49">
        <v>1</v>
      </c>
      <c r="D225" s="58" t="s">
        <v>88</v>
      </c>
      <c r="E225" s="72"/>
      <c r="F225" s="59"/>
      <c r="G225" s="58"/>
      <c r="H225" s="72" t="s">
        <v>334</v>
      </c>
      <c r="I225" s="137" t="s">
        <v>82</v>
      </c>
      <c r="J225" s="115">
        <v>45845</v>
      </c>
      <c r="K225" s="60">
        <v>4</v>
      </c>
      <c r="L225" s="138"/>
      <c r="M225" s="48" t="s">
        <v>170</v>
      </c>
      <c r="N225" s="61">
        <f t="shared" ref="N225" si="48">IF(J225&gt;0,WEEKNUM(J225,1),"")</f>
        <v>28</v>
      </c>
      <c r="O225" s="62" t="str">
        <f t="shared" ref="O225:O232" si="49">IF(J225&gt;0,TEXT(J225,"Mmm-yy"),"")</f>
        <v>Jul-25</v>
      </c>
    </row>
    <row r="226" spans="1:15" ht="15.5" x14ac:dyDescent="0.35">
      <c r="A226" s="137" t="s">
        <v>40</v>
      </c>
      <c r="B226" s="141">
        <v>10001</v>
      </c>
      <c r="C226" s="141">
        <v>1</v>
      </c>
      <c r="D226" s="151" t="s">
        <v>88</v>
      </c>
      <c r="E226" s="152"/>
      <c r="F226" s="145"/>
      <c r="G226" s="151"/>
      <c r="H226" s="152" t="s">
        <v>335</v>
      </c>
      <c r="I226" s="137" t="s">
        <v>82</v>
      </c>
      <c r="J226" s="115">
        <v>45846</v>
      </c>
      <c r="K226" s="147">
        <v>2</v>
      </c>
      <c r="L226" s="148"/>
      <c r="M226" s="137" t="s">
        <v>170</v>
      </c>
      <c r="N226" s="149">
        <f>IF(J226&gt;0,WEEKNUM(J226,1),"")</f>
        <v>28</v>
      </c>
      <c r="O226" s="150" t="str">
        <f t="shared" si="49"/>
        <v>Jul-25</v>
      </c>
    </row>
    <row r="227" spans="1:15" ht="15.5" x14ac:dyDescent="0.35">
      <c r="A227" s="48" t="s">
        <v>40</v>
      </c>
      <c r="B227" s="49">
        <v>2001</v>
      </c>
      <c r="C227" s="49">
        <v>46</v>
      </c>
      <c r="D227" s="58" t="s">
        <v>332</v>
      </c>
      <c r="E227" s="72"/>
      <c r="F227" s="126" t="s">
        <v>113</v>
      </c>
      <c r="G227" s="59" t="s">
        <v>236</v>
      </c>
      <c r="H227" s="72" t="s">
        <v>336</v>
      </c>
      <c r="I227" s="137" t="s">
        <v>82</v>
      </c>
      <c r="J227" s="115">
        <v>45846</v>
      </c>
      <c r="K227" s="60">
        <v>7</v>
      </c>
      <c r="L227" s="138"/>
      <c r="M227" s="48" t="s">
        <v>170</v>
      </c>
      <c r="N227" s="61">
        <f>IF(J227&gt;0,WEEKNUM(J227,1),"")</f>
        <v>28</v>
      </c>
      <c r="O227" s="62" t="str">
        <f t="shared" si="49"/>
        <v>Jul-25</v>
      </c>
    </row>
    <row r="228" spans="1:15" ht="15.5" x14ac:dyDescent="0.35">
      <c r="A228" s="137" t="s">
        <v>40</v>
      </c>
      <c r="B228" s="141">
        <v>4001</v>
      </c>
      <c r="C228" s="141">
        <v>46</v>
      </c>
      <c r="D228" s="151" t="s">
        <v>332</v>
      </c>
      <c r="E228" s="152"/>
      <c r="F228" s="144" t="s">
        <v>113</v>
      </c>
      <c r="G228" s="145" t="s">
        <v>236</v>
      </c>
      <c r="H228" s="152" t="s">
        <v>337</v>
      </c>
      <c r="I228" s="137" t="s">
        <v>82</v>
      </c>
      <c r="J228" s="115">
        <v>45847</v>
      </c>
      <c r="K228" s="147">
        <v>6</v>
      </c>
      <c r="L228" s="148"/>
      <c r="M228" s="137" t="s">
        <v>170</v>
      </c>
      <c r="N228" s="149">
        <f t="shared" ref="N228:N230" si="50">IF(J228&gt;0,WEEKNUM(J228,1),"")</f>
        <v>28</v>
      </c>
      <c r="O228" s="150" t="str">
        <f t="shared" si="49"/>
        <v>Jul-25</v>
      </c>
    </row>
    <row r="229" spans="1:15" ht="15.5" x14ac:dyDescent="0.35">
      <c r="A229" s="137" t="s">
        <v>40</v>
      </c>
      <c r="B229" s="49">
        <v>10001</v>
      </c>
      <c r="C229" s="49">
        <v>1</v>
      </c>
      <c r="D229" s="58" t="s">
        <v>88</v>
      </c>
      <c r="E229" s="72"/>
      <c r="F229" s="59"/>
      <c r="G229" s="58"/>
      <c r="H229" s="72" t="s">
        <v>338</v>
      </c>
      <c r="I229" s="137" t="s">
        <v>82</v>
      </c>
      <c r="J229" s="115">
        <v>45847</v>
      </c>
      <c r="K229" s="60">
        <v>3</v>
      </c>
      <c r="L229" s="138"/>
      <c r="M229" s="48" t="s">
        <v>170</v>
      </c>
      <c r="N229" s="61">
        <f>IF(J229&gt;0,WEEKNUM(J229,1),"")</f>
        <v>28</v>
      </c>
      <c r="O229" s="62" t="str">
        <f t="shared" si="49"/>
        <v>Jul-25</v>
      </c>
    </row>
    <row r="230" spans="1:15" ht="15.5" x14ac:dyDescent="0.35">
      <c r="A230" s="137" t="s">
        <v>40</v>
      </c>
      <c r="B230" s="141">
        <v>4001</v>
      </c>
      <c r="C230" s="141">
        <v>46</v>
      </c>
      <c r="D230" s="151" t="s">
        <v>332</v>
      </c>
      <c r="E230" s="152"/>
      <c r="F230" s="144" t="s">
        <v>113</v>
      </c>
      <c r="G230" s="145" t="s">
        <v>236</v>
      </c>
      <c r="H230" s="152" t="s">
        <v>339</v>
      </c>
      <c r="I230" s="137" t="s">
        <v>82</v>
      </c>
      <c r="J230" s="115">
        <v>45848</v>
      </c>
      <c r="K230" s="147">
        <v>4</v>
      </c>
      <c r="L230" s="148"/>
      <c r="M230" s="137" t="s">
        <v>170</v>
      </c>
      <c r="N230" s="149">
        <f t="shared" si="50"/>
        <v>28</v>
      </c>
      <c r="O230" s="150" t="str">
        <f t="shared" si="49"/>
        <v>Jul-25</v>
      </c>
    </row>
    <row r="231" spans="1:15" ht="15.5" x14ac:dyDescent="0.35">
      <c r="A231" s="136" t="s">
        <v>40</v>
      </c>
      <c r="B231" s="49">
        <v>10001</v>
      </c>
      <c r="C231" s="49">
        <v>1</v>
      </c>
      <c r="D231" s="58" t="s">
        <v>88</v>
      </c>
      <c r="E231" s="72"/>
      <c r="F231" s="59"/>
      <c r="G231" s="58"/>
      <c r="H231" s="72" t="s">
        <v>334</v>
      </c>
      <c r="I231" s="48" t="s">
        <v>82</v>
      </c>
      <c r="J231" s="115">
        <v>45848</v>
      </c>
      <c r="K231" s="60">
        <v>5</v>
      </c>
      <c r="L231" s="58"/>
      <c r="M231" s="48" t="s">
        <v>170</v>
      </c>
      <c r="N231" s="61">
        <f>IF(J231&gt;0,WEEKNUM(J231,1),"")</f>
        <v>28</v>
      </c>
      <c r="O231" s="62" t="str">
        <f t="shared" si="49"/>
        <v>Jul-25</v>
      </c>
    </row>
    <row r="232" spans="1:15" x14ac:dyDescent="0.35">
      <c r="A232" s="137" t="s">
        <v>40</v>
      </c>
      <c r="B232" s="141">
        <v>4001</v>
      </c>
      <c r="C232" s="141">
        <v>46</v>
      </c>
      <c r="D232" s="151" t="s">
        <v>332</v>
      </c>
      <c r="E232" s="152"/>
      <c r="F232" s="144" t="s">
        <v>113</v>
      </c>
      <c r="G232" s="145" t="s">
        <v>236</v>
      </c>
      <c r="H232" s="152" t="s">
        <v>340</v>
      </c>
      <c r="I232" s="137" t="s">
        <v>82</v>
      </c>
      <c r="J232" s="115">
        <v>45849</v>
      </c>
      <c r="K232" s="147">
        <v>9</v>
      </c>
      <c r="L232" s="151"/>
      <c r="M232" s="137" t="s">
        <v>170</v>
      </c>
      <c r="N232" s="149">
        <f>IF(J232&gt;0,WEEKNUM(J232,1),"")</f>
        <v>28</v>
      </c>
      <c r="O232" s="150" t="str">
        <f t="shared" si="49"/>
        <v>Jul-25</v>
      </c>
    </row>
    <row r="233" spans="1:15" ht="15.5" x14ac:dyDescent="0.35">
      <c r="A233" s="140" t="s">
        <v>40</v>
      </c>
      <c r="B233" s="141">
        <v>10001</v>
      </c>
      <c r="C233" s="141">
        <v>1</v>
      </c>
      <c r="D233" s="151" t="s">
        <v>88</v>
      </c>
      <c r="E233" s="152"/>
      <c r="F233" s="144"/>
      <c r="G233" s="145"/>
      <c r="H233" s="152" t="s">
        <v>341</v>
      </c>
      <c r="I233" s="137" t="s">
        <v>82</v>
      </c>
      <c r="J233" s="115">
        <v>45852</v>
      </c>
      <c r="K233" s="147">
        <v>9</v>
      </c>
      <c r="L233" s="148"/>
      <c r="M233" s="137" t="s">
        <v>170</v>
      </c>
      <c r="N233" s="149">
        <f>IF(J233&gt;0,WEEKNUM(J233,1),"")</f>
        <v>29</v>
      </c>
      <c r="O233" s="150" t="str">
        <f>IF(J233&gt;0,TEXT(J233,"Mmm-yy"),"")</f>
        <v>Jul-25</v>
      </c>
    </row>
    <row r="234" spans="1:15" ht="15.5" x14ac:dyDescent="0.35">
      <c r="A234" s="48" t="s">
        <v>40</v>
      </c>
      <c r="B234" s="49">
        <v>10001</v>
      </c>
      <c r="C234" s="49">
        <v>1</v>
      </c>
      <c r="D234" s="58" t="s">
        <v>88</v>
      </c>
      <c r="E234" s="72"/>
      <c r="F234" s="59"/>
      <c r="G234" s="58"/>
      <c r="H234" s="72" t="s">
        <v>342</v>
      </c>
      <c r="I234" s="137" t="s">
        <v>82</v>
      </c>
      <c r="J234" s="115">
        <v>45853</v>
      </c>
      <c r="K234" s="60">
        <v>9</v>
      </c>
      <c r="L234" s="138"/>
      <c r="M234" s="48" t="s">
        <v>170</v>
      </c>
      <c r="N234" s="61">
        <f t="shared" ref="N234" si="51">IF(J234&gt;0,WEEKNUM(J234,1),"")</f>
        <v>29</v>
      </c>
      <c r="O234" s="62" t="str">
        <f t="shared" ref="O234:O240" si="52">IF(J234&gt;0,TEXT(J234,"Mmm-yy"),"")</f>
        <v>Jul-25</v>
      </c>
    </row>
    <row r="235" spans="1:15" ht="15.5" x14ac:dyDescent="0.35">
      <c r="A235" s="137" t="s">
        <v>40</v>
      </c>
      <c r="B235" s="141">
        <v>11001</v>
      </c>
      <c r="C235" s="141">
        <v>1</v>
      </c>
      <c r="D235" s="151" t="s">
        <v>88</v>
      </c>
      <c r="E235" s="152"/>
      <c r="F235" s="145"/>
      <c r="G235" s="151"/>
      <c r="H235" s="152" t="s">
        <v>343</v>
      </c>
      <c r="I235" s="137" t="s">
        <v>82</v>
      </c>
      <c r="J235" s="115">
        <v>45854</v>
      </c>
      <c r="K235" s="147">
        <v>1</v>
      </c>
      <c r="L235" s="148"/>
      <c r="M235" s="137" t="s">
        <v>170</v>
      </c>
      <c r="N235" s="149">
        <f>IF(J235&gt;0,WEEKNUM(J235,1),"")</f>
        <v>29</v>
      </c>
      <c r="O235" s="150" t="str">
        <f t="shared" si="52"/>
        <v>Jul-25</v>
      </c>
    </row>
    <row r="236" spans="1:15" ht="15.5" x14ac:dyDescent="0.35">
      <c r="A236" s="48" t="s">
        <v>40</v>
      </c>
      <c r="B236" s="49">
        <v>2001</v>
      </c>
      <c r="C236" s="49">
        <v>47</v>
      </c>
      <c r="D236" s="58" t="s">
        <v>344</v>
      </c>
      <c r="E236" s="72"/>
      <c r="F236" s="126" t="s">
        <v>113</v>
      </c>
      <c r="G236" s="59" t="s">
        <v>236</v>
      </c>
      <c r="H236" s="72" t="s">
        <v>345</v>
      </c>
      <c r="I236" s="137" t="s">
        <v>82</v>
      </c>
      <c r="J236" s="115">
        <v>45854</v>
      </c>
      <c r="K236" s="60">
        <v>3</v>
      </c>
      <c r="L236" s="138"/>
      <c r="M236" s="48" t="s">
        <v>170</v>
      </c>
      <c r="N236" s="61">
        <f>IF(J236&gt;0,WEEKNUM(J236,1),"")</f>
        <v>29</v>
      </c>
      <c r="O236" s="62" t="str">
        <f t="shared" si="52"/>
        <v>Jul-25</v>
      </c>
    </row>
    <row r="237" spans="1:15" ht="15.5" x14ac:dyDescent="0.35">
      <c r="A237" s="137" t="s">
        <v>40</v>
      </c>
      <c r="B237" s="141">
        <v>10001</v>
      </c>
      <c r="C237" s="141">
        <v>1</v>
      </c>
      <c r="D237" s="151" t="s">
        <v>88</v>
      </c>
      <c r="E237" s="152"/>
      <c r="F237" s="144"/>
      <c r="G237" s="145"/>
      <c r="H237" s="152" t="s">
        <v>346</v>
      </c>
      <c r="I237" s="137" t="s">
        <v>82</v>
      </c>
      <c r="J237" s="115">
        <v>45854</v>
      </c>
      <c r="K237" s="147">
        <v>5</v>
      </c>
      <c r="L237" s="148"/>
      <c r="M237" s="137" t="s">
        <v>170</v>
      </c>
      <c r="N237" s="149">
        <f t="shared" ref="N237:N239" si="53">IF(J237&gt;0,WEEKNUM(J237,1),"")</f>
        <v>29</v>
      </c>
      <c r="O237" s="150" t="str">
        <f t="shared" si="52"/>
        <v>Jul-25</v>
      </c>
    </row>
    <row r="238" spans="1:15" ht="15.5" x14ac:dyDescent="0.35">
      <c r="A238" s="137" t="s">
        <v>40</v>
      </c>
      <c r="B238" s="49">
        <v>10001</v>
      </c>
      <c r="C238" s="49">
        <v>1</v>
      </c>
      <c r="D238" s="58" t="s">
        <v>88</v>
      </c>
      <c r="E238" s="72"/>
      <c r="F238" s="59"/>
      <c r="G238" s="58"/>
      <c r="H238" s="72" t="s">
        <v>347</v>
      </c>
      <c r="I238" s="137" t="s">
        <v>82</v>
      </c>
      <c r="J238" s="115">
        <v>45855</v>
      </c>
      <c r="K238" s="60">
        <v>9</v>
      </c>
      <c r="L238" s="138"/>
      <c r="M238" s="48" t="s">
        <v>170</v>
      </c>
      <c r="N238" s="61">
        <f>IF(J238&gt;0,WEEKNUM(J238,1),"")</f>
        <v>29</v>
      </c>
      <c r="O238" s="62" t="str">
        <f t="shared" si="52"/>
        <v>Jul-25</v>
      </c>
    </row>
    <row r="239" spans="1:15" ht="15.5" x14ac:dyDescent="0.35">
      <c r="A239" s="137" t="s">
        <v>40</v>
      </c>
      <c r="B239" s="141">
        <v>11001</v>
      </c>
      <c r="C239" s="141">
        <v>34</v>
      </c>
      <c r="D239" s="151" t="s">
        <v>348</v>
      </c>
      <c r="E239" s="152"/>
      <c r="F239" s="144" t="s">
        <v>113</v>
      </c>
      <c r="G239" s="145" t="s">
        <v>236</v>
      </c>
      <c r="H239" s="152" t="s">
        <v>349</v>
      </c>
      <c r="I239" s="137" t="s">
        <v>82</v>
      </c>
      <c r="J239" s="115">
        <v>45856</v>
      </c>
      <c r="K239" s="147">
        <v>1</v>
      </c>
      <c r="L239" s="148"/>
      <c r="M239" s="137" t="s">
        <v>170</v>
      </c>
      <c r="N239" s="149">
        <f t="shared" si="53"/>
        <v>29</v>
      </c>
      <c r="O239" s="150" t="str">
        <f t="shared" si="52"/>
        <v>Jul-25</v>
      </c>
    </row>
    <row r="240" spans="1:15" ht="15.5" x14ac:dyDescent="0.35">
      <c r="A240" s="136" t="s">
        <v>40</v>
      </c>
      <c r="B240" s="49">
        <v>10001</v>
      </c>
      <c r="C240" s="49">
        <v>1</v>
      </c>
      <c r="D240" s="58" t="s">
        <v>88</v>
      </c>
      <c r="E240" s="72"/>
      <c r="F240" s="59"/>
      <c r="G240" s="58"/>
      <c r="H240" s="72" t="s">
        <v>350</v>
      </c>
      <c r="I240" s="48" t="s">
        <v>82</v>
      </c>
      <c r="J240" s="115">
        <v>45856</v>
      </c>
      <c r="K240" s="60">
        <v>8</v>
      </c>
      <c r="L240" s="58"/>
      <c r="M240" s="48" t="s">
        <v>170</v>
      </c>
      <c r="N240" s="61">
        <f>IF(J240&gt;0,WEEKNUM(J240,1),"")</f>
        <v>29</v>
      </c>
      <c r="O240" s="62" t="str">
        <f t="shared" si="52"/>
        <v>Jul-25</v>
      </c>
    </row>
    <row r="241" spans="1:15" ht="15.5" x14ac:dyDescent="0.35">
      <c r="A241" s="140" t="s">
        <v>40</v>
      </c>
      <c r="B241" s="141">
        <v>10001</v>
      </c>
      <c r="C241" s="141">
        <v>1</v>
      </c>
      <c r="D241" s="151" t="s">
        <v>88</v>
      </c>
      <c r="E241" s="152"/>
      <c r="F241" s="144"/>
      <c r="G241" s="145"/>
      <c r="H241" s="152" t="s">
        <v>351</v>
      </c>
      <c r="I241" s="137" t="s">
        <v>82</v>
      </c>
      <c r="J241" s="115">
        <v>45859</v>
      </c>
      <c r="K241" s="147">
        <v>9</v>
      </c>
      <c r="L241" s="148"/>
      <c r="M241" s="137" t="s">
        <v>170</v>
      </c>
      <c r="N241" s="149">
        <f>IF(J241&gt;0,WEEKNUM(J241,1),"")</f>
        <v>30</v>
      </c>
      <c r="O241" s="150" t="str">
        <f>IF(J241&gt;0,TEXT(J241,"Mmm-yy"),"")</f>
        <v>Jul-25</v>
      </c>
    </row>
    <row r="242" spans="1:15" ht="15.5" x14ac:dyDescent="0.35">
      <c r="A242" s="48" t="s">
        <v>40</v>
      </c>
      <c r="B242" s="49">
        <v>10001</v>
      </c>
      <c r="C242" s="49">
        <v>1</v>
      </c>
      <c r="D242" s="58" t="s">
        <v>88</v>
      </c>
      <c r="E242" s="72"/>
      <c r="F242" s="59"/>
      <c r="G242" s="58"/>
      <c r="H242" s="72" t="s">
        <v>352</v>
      </c>
      <c r="I242" s="137" t="s">
        <v>82</v>
      </c>
      <c r="J242" s="115">
        <v>45860</v>
      </c>
      <c r="K242" s="60">
        <v>7</v>
      </c>
      <c r="L242" s="138"/>
      <c r="M242" s="48" t="s">
        <v>170</v>
      </c>
      <c r="N242" s="61">
        <f t="shared" ref="N242" si="54">IF(J242&gt;0,WEEKNUM(J242,1),"")</f>
        <v>30</v>
      </c>
      <c r="O242" s="62" t="str">
        <f t="shared" ref="O242:O246" si="55">IF(J242&gt;0,TEXT(J242,"Mmm-yy"),"")</f>
        <v>Jul-25</v>
      </c>
    </row>
    <row r="243" spans="1:15" ht="15.5" x14ac:dyDescent="0.35">
      <c r="A243" s="137" t="s">
        <v>40</v>
      </c>
      <c r="B243" s="141">
        <v>11001</v>
      </c>
      <c r="C243" s="141">
        <v>1</v>
      </c>
      <c r="D243" s="151" t="s">
        <v>88</v>
      </c>
      <c r="E243" s="152"/>
      <c r="F243" s="145"/>
      <c r="G243" s="151"/>
      <c r="H243" s="152" t="s">
        <v>343</v>
      </c>
      <c r="I243" s="137" t="s">
        <v>82</v>
      </c>
      <c r="J243" s="115">
        <v>45860</v>
      </c>
      <c r="K243" s="147">
        <v>2</v>
      </c>
      <c r="L243" s="148"/>
      <c r="M243" s="137" t="s">
        <v>170</v>
      </c>
      <c r="N243" s="149">
        <f>IF(J243&gt;0,WEEKNUM(J243,1),"")</f>
        <v>30</v>
      </c>
      <c r="O243" s="150" t="str">
        <f t="shared" si="55"/>
        <v>Jul-25</v>
      </c>
    </row>
    <row r="244" spans="1:15" ht="15.5" x14ac:dyDescent="0.35">
      <c r="A244" s="48" t="s">
        <v>40</v>
      </c>
      <c r="B244" s="49">
        <v>10001</v>
      </c>
      <c r="C244" s="49">
        <v>1</v>
      </c>
      <c r="D244" s="58" t="s">
        <v>88</v>
      </c>
      <c r="E244" s="72"/>
      <c r="F244" s="126"/>
      <c r="G244" s="59"/>
      <c r="H244" s="72" t="s">
        <v>346</v>
      </c>
      <c r="I244" s="137" t="s">
        <v>82</v>
      </c>
      <c r="J244" s="115">
        <v>45861</v>
      </c>
      <c r="K244" s="60">
        <v>9</v>
      </c>
      <c r="L244" s="138"/>
      <c r="M244" s="48" t="s">
        <v>170</v>
      </c>
      <c r="N244" s="61">
        <f>IF(J244&gt;0,WEEKNUM(J244,1),"")</f>
        <v>30</v>
      </c>
      <c r="O244" s="62" t="str">
        <f t="shared" si="55"/>
        <v>Jul-25</v>
      </c>
    </row>
    <row r="245" spans="1:15" ht="15.5" x14ac:dyDescent="0.35">
      <c r="A245" s="137" t="s">
        <v>40</v>
      </c>
      <c r="B245" s="141">
        <v>10001</v>
      </c>
      <c r="C245" s="141">
        <v>1</v>
      </c>
      <c r="D245" s="151" t="s">
        <v>88</v>
      </c>
      <c r="E245" s="152"/>
      <c r="F245" s="144"/>
      <c r="G245" s="145"/>
      <c r="H245" s="152" t="s">
        <v>346</v>
      </c>
      <c r="I245" s="137" t="s">
        <v>82</v>
      </c>
      <c r="J245" s="115">
        <v>45862</v>
      </c>
      <c r="K245" s="147">
        <v>9</v>
      </c>
      <c r="L245" s="148"/>
      <c r="M245" s="137" t="s">
        <v>170</v>
      </c>
      <c r="N245" s="149">
        <f t="shared" ref="N245" si="56">IF(J245&gt;0,WEEKNUM(J245,1),"")</f>
        <v>30</v>
      </c>
      <c r="O245" s="150" t="str">
        <f t="shared" si="55"/>
        <v>Jul-25</v>
      </c>
    </row>
    <row r="246" spans="1:15" ht="15.5" x14ac:dyDescent="0.35">
      <c r="A246" s="137" t="s">
        <v>40</v>
      </c>
      <c r="B246" s="49">
        <v>10001</v>
      </c>
      <c r="C246" s="49">
        <v>1</v>
      </c>
      <c r="D246" s="58" t="s">
        <v>88</v>
      </c>
      <c r="E246" s="72"/>
      <c r="F246" s="59"/>
      <c r="G246" s="58"/>
      <c r="H246" s="72" t="s">
        <v>347</v>
      </c>
      <c r="I246" s="137" t="s">
        <v>82</v>
      </c>
      <c r="J246" s="115">
        <v>45863</v>
      </c>
      <c r="K246" s="60">
        <v>9</v>
      </c>
      <c r="L246" s="138"/>
      <c r="M246" s="48" t="s">
        <v>170</v>
      </c>
      <c r="N246" s="61">
        <f>IF(J246&gt;0,WEEKNUM(J246,1),"")</f>
        <v>30</v>
      </c>
      <c r="O246" s="62" t="str">
        <f t="shared" si="55"/>
        <v>Jul-25</v>
      </c>
    </row>
  </sheetData>
  <sortState xmlns:xlrd2="http://schemas.microsoft.com/office/spreadsheetml/2017/richdata2" ref="I12:I21">
    <sortCondition ref="I12:I21"/>
  </sortSt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1" r:id="rId4" name="Button 27">
              <controlPr locked="0" defaultSize="0" print="0" autoFill="0" autoPict="0" macro="[0]!Check">
                <anchor moveWithCells="1" sizeWithCells="1">
                  <from>
                    <xdr:col>0</xdr:col>
                    <xdr:colOff>69850</xdr:colOff>
                    <xdr:row>0</xdr:row>
                    <xdr:rowOff>31750</xdr:rowOff>
                  </from>
                  <to>
                    <xdr:col>1</xdr:col>
                    <xdr:colOff>755650</xdr:colOff>
                    <xdr:row>0</xdr:row>
                    <xdr:rowOff>450850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xWindow="227" yWindow="782" count="4">
        <x14:dataValidation type="list" allowBlank="1" showInputMessage="1" showErrorMessage="1" xr:uid="{708767D7-5C07-4460-B04E-2BBBB13610CE}">
          <x14:formula1>
            <xm:f>Contents!$J$4:$J$20</xm:f>
          </x14:formula1>
          <xm:sqref>A3:A56</xm:sqref>
        </x14:dataValidation>
        <x14:dataValidation type="list" allowBlank="1" showInputMessage="1" showErrorMessage="1" xr:uid="{9D5357DE-403F-4380-86D1-BCF09CD9FAEA}">
          <x14:formula1>
            <xm:f>Contents!$L$4:$L$20</xm:f>
          </x14:formula1>
          <xm:sqref>I3:I56</xm:sqref>
        </x14:dataValidation>
        <x14:dataValidation type="list" allowBlank="1" showInputMessage="1" showErrorMessage="1" xr:uid="{5BB81975-4B1F-4001-856B-6D2E722067C2}">
          <x14:formula1>
            <xm:f>Contents!$K$4:$K$20</xm:f>
          </x14:formula1>
          <xm:sqref>M3:M56</xm:sqref>
        </x14:dataValidation>
        <x14:dataValidation type="list" allowBlank="1" showInputMessage="1" showErrorMessage="1" prompt="1001 Feasibility Prod _x000a_2001 Dev  Prod _x000a_3001 BI  Prod _x000a_4001 Data/Schema Prod _x000a_5001 Query  Prod _x000a_6001 Data Ext/Load Prod _x000a_7001 Test  Prod_x000a_8001 PM  Prod_x000a_9001 Sys Failure Non-Prod_x000a_10001 Training Non-Prod_x000a_11001 Meetings Non-Prod_x000a_12001 Non Work Others" xr:uid="{2C1232AD-6743-4B5D-81D3-D3AD22764F1C}">
          <x14:formula1>
            <xm:f>Contents!$B$4:$B$15</xm:f>
          </x14:formula1>
          <xm:sqref>B3:B56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0E07B-D3EB-4B25-954A-3D47363BAA56}">
  <sheetPr codeName="Sheet3"/>
  <dimension ref="A1:N17"/>
  <sheetViews>
    <sheetView workbookViewId="0">
      <selection activeCell="B2" sqref="B2"/>
    </sheetView>
  </sheetViews>
  <sheetFormatPr defaultColWidth="31.81640625" defaultRowHeight="14.5" x14ac:dyDescent="0.35"/>
  <cols>
    <col min="1" max="1" width="31.81640625" style="29" bestFit="1" customWidth="1"/>
    <col min="2" max="2" width="8" style="29" bestFit="1" customWidth="1"/>
    <col min="3" max="3" width="7.81640625" style="29" bestFit="1" customWidth="1"/>
    <col min="4" max="13" width="8" style="29" bestFit="1" customWidth="1"/>
    <col min="14" max="14" width="17.81640625" style="29" bestFit="1" customWidth="1"/>
    <col min="15" max="16384" width="31.81640625" style="29"/>
  </cols>
  <sheetData>
    <row r="1" spans="1:14" ht="15.5" x14ac:dyDescent="0.35">
      <c r="A1" s="31" t="s">
        <v>85</v>
      </c>
      <c r="B1" s="32" t="str">
        <f>TEXT(45200,"Mmm-yy")</f>
        <v>Oct-23</v>
      </c>
      <c r="C1" s="32" t="str">
        <f>TEXT(45231,"Mmm-yy")</f>
        <v>Nov-23</v>
      </c>
      <c r="D1" s="32" t="str">
        <f>TEXT(45261,"Mmm-yy")</f>
        <v>Dec-23</v>
      </c>
      <c r="E1" s="32" t="str">
        <f>TEXT(45292,"Mmm-yy")</f>
        <v>Jan-24</v>
      </c>
      <c r="F1" s="32" t="str">
        <f>TEXT(45323,"Mmm-yy")</f>
        <v>Feb-24</v>
      </c>
      <c r="G1" s="32" t="str">
        <f>TEXT(45352,"Mmm-yy")</f>
        <v>Mar-24</v>
      </c>
      <c r="H1" s="32" t="str">
        <f>TEXT(45383,"Mmm-yy")</f>
        <v>Apr-24</v>
      </c>
      <c r="I1" s="32" t="str">
        <f>TEXT(45413,"Mmm-yy")</f>
        <v>May-24</v>
      </c>
      <c r="J1" s="32" t="str">
        <f>TEXT(45444,"Mmm-yy")</f>
        <v>Jun-24</v>
      </c>
      <c r="K1" s="32" t="str">
        <f>TEXT(45474,"Mmm-yy")</f>
        <v>Jul-24</v>
      </c>
      <c r="L1" s="32" t="str">
        <f>TEXT(45505,"Mmm-yy")</f>
        <v>Aug-24</v>
      </c>
      <c r="M1" s="32" t="str">
        <f>TEXT(45536,"Mmm-yy")</f>
        <v>Sep-24</v>
      </c>
      <c r="N1" s="31" t="s">
        <v>54</v>
      </c>
    </row>
    <row r="2" spans="1:14" x14ac:dyDescent="0.35">
      <c r="A2" s="30" t="s">
        <v>29</v>
      </c>
      <c r="B2" s="37" t="str">
        <f>IF(COUNTIFS(FIRSTPASS[Month
(Mon - YY)],B1)&gt;0,COUNTIFS(FIRSTPASS[Month
(Mon - YY)],B1),"")</f>
        <v/>
      </c>
      <c r="C2" s="37" t="str">
        <f>IF(COUNTIFS(FIRSTPASS[Month
(Mon - YY)],C1)&gt;0,COUNTIFS(FIRSTPASS[Month
(Mon - YY)],C1),"")</f>
        <v/>
      </c>
      <c r="D2" s="37" t="str">
        <f>IF(COUNTIFS(FIRSTPASS[Month
(Mon - YY)],D1)&gt;0,COUNTIFS(FIRSTPASS[Month
(Mon - YY)],D1),"")</f>
        <v/>
      </c>
      <c r="E2" s="37" t="str">
        <f>IF(COUNTIFS(FIRSTPASS[Month
(Mon - YY)],E1)&gt;0,COUNTIFS(FIRSTPASS[Month
(Mon - YY)],E1),"")</f>
        <v/>
      </c>
      <c r="F2" s="37" t="str">
        <f>IF(COUNTIFS(FIRSTPASS[Month
(Mon - YY)],F1)&gt;0,COUNTIFS(FIRSTPASS[Month
(Mon - YY)],F1),"")</f>
        <v/>
      </c>
      <c r="G2" s="37" t="str">
        <f>IF(COUNTIFS(FIRSTPASS[Month
(Mon - YY)],G1)&gt;0,COUNTIFS(FIRSTPASS[Month
(Mon - YY)],G1),"")</f>
        <v/>
      </c>
      <c r="H2" s="37" t="str">
        <f>IF(COUNTIFS(FIRSTPASS[Month
(Mon - YY)],H1)&gt;0,COUNTIFS(FIRSTPASS[Month
(Mon - YY)],H1),"")</f>
        <v/>
      </c>
      <c r="I2" s="37" t="str">
        <f>IF(COUNTIFS(FIRSTPASS[Month
(Mon - YY)],I1)&gt;0,COUNTIFS(FIRSTPASS[Month
(Mon - YY)],I1),"")</f>
        <v/>
      </c>
      <c r="J2" s="37" t="str">
        <f>IF(COUNTIFS(FIRSTPASS[Month
(Mon - YY)],J1)&gt;0,COUNTIFS(FIRSTPASS[Month
(Mon - YY)],J1),"")</f>
        <v/>
      </c>
      <c r="K2" s="37" t="str">
        <f>IF(COUNTIFS(FIRSTPASS[Month
(Mon - YY)],K1)&gt;0,COUNTIFS(FIRSTPASS[Month
(Mon - YY)],K1),"")</f>
        <v/>
      </c>
      <c r="L2" s="37" t="str">
        <f>IF(COUNTIFS(FIRSTPASS[Month
(Mon - YY)],L1)&gt;0,COUNTIFS(FIRSTPASS[Month
(Mon - YY)],L1),"")</f>
        <v/>
      </c>
      <c r="M2" s="37" t="str">
        <f>IF(COUNTIFS(FIRSTPASS[Month
(Mon - YY)],M1)&gt;0,COUNTIFS(FIRSTPASS[Month
(Mon - YY)],M1),"")</f>
        <v/>
      </c>
      <c r="N2" s="38" t="str">
        <f>IF(SUM(B2:M2)&gt;0,SUM(B2:M2),"")</f>
        <v/>
      </c>
    </row>
    <row r="3" spans="1:14" x14ac:dyDescent="0.35">
      <c r="A3" s="30" t="s">
        <v>30</v>
      </c>
      <c r="B3" s="37" t="str">
        <f>IF(COUNTIFS(FIRSTPASS[Month
(Mon - YY)],B1,FIRSTPASS[First Pass (Yes / No)],"Yes")&gt;0,COUNTIFS(FIRSTPASS[Month
(Mon - YY)],B1,FIRSTPASS[First Pass (Yes / No)],"Yes"),"")</f>
        <v/>
      </c>
      <c r="C3" s="37" t="str">
        <f>IF(COUNTIFS(FIRSTPASS[Month
(Mon - YY)],C1,FIRSTPASS[First Pass (Yes / No)],"Yes")&gt;0,COUNTIFS(FIRSTPASS[Month
(Mon - YY)],C1,FIRSTPASS[First Pass (Yes / No)],"Yes"),"")</f>
        <v/>
      </c>
      <c r="D3" s="37" t="str">
        <f>IF(COUNTIFS(FIRSTPASS[Month
(Mon - YY)],D1,FIRSTPASS[First Pass (Yes / No)],"Yes")&gt;0,COUNTIFS(FIRSTPASS[Month
(Mon - YY)],D1,FIRSTPASS[First Pass (Yes / No)],"Yes"),"")</f>
        <v/>
      </c>
      <c r="E3" s="37" t="str">
        <f>IF(COUNTIFS(FIRSTPASS[Month
(Mon - YY)],E1,FIRSTPASS[First Pass (Yes / No)],"Yes")&gt;0,COUNTIFS(FIRSTPASS[Month
(Mon - YY)],E1,FIRSTPASS[First Pass (Yes / No)],"Yes"),"")</f>
        <v/>
      </c>
      <c r="F3" s="37" t="str">
        <f>IF(COUNTIFS(FIRSTPASS[Month
(Mon - YY)],F1,FIRSTPASS[First Pass (Yes / No)],"Yes")&gt;0,COUNTIFS(FIRSTPASS[Month
(Mon - YY)],F1,FIRSTPASS[First Pass (Yes / No)],"Yes"),"")</f>
        <v/>
      </c>
      <c r="G3" s="37" t="str">
        <f>IF(COUNTIFS(FIRSTPASS[Month
(Mon - YY)],G1,FIRSTPASS[First Pass (Yes / No)],"Yes")&gt;0,COUNTIFS(FIRSTPASS[Month
(Mon - YY)],G1,FIRSTPASS[First Pass (Yes / No)],"Yes"),"")</f>
        <v/>
      </c>
      <c r="H3" s="37" t="str">
        <f>IF(COUNTIFS(FIRSTPASS[Month
(Mon - YY)],H1,FIRSTPASS[First Pass (Yes / No)],"Yes")&gt;0,COUNTIFS(FIRSTPASS[Month
(Mon - YY)],H1,FIRSTPASS[First Pass (Yes / No)],"Yes"),"")</f>
        <v/>
      </c>
      <c r="I3" s="37" t="str">
        <f>IF(COUNTIFS(FIRSTPASS[Month
(Mon - YY)],I1,FIRSTPASS[First Pass (Yes / No)],"Yes")&gt;0,COUNTIFS(FIRSTPASS[Month
(Mon - YY)],I1,FIRSTPASS[First Pass (Yes / No)],"Yes"),"")</f>
        <v/>
      </c>
      <c r="J3" s="37" t="str">
        <f>IF(COUNTIFS(FIRSTPASS[Month
(Mon - YY)],J1,FIRSTPASS[First Pass (Yes / No)],"Yes")&gt;0,COUNTIFS(FIRSTPASS[Month
(Mon - YY)],J1,FIRSTPASS[First Pass (Yes / No)],"Yes"),"")</f>
        <v/>
      </c>
      <c r="K3" s="37" t="str">
        <f>IF(COUNTIFS(FIRSTPASS[Month
(Mon - YY)],K1,FIRSTPASS[First Pass (Yes / No)],"Yes")&gt;0,COUNTIFS(FIRSTPASS[Month
(Mon - YY)],K1,FIRSTPASS[First Pass (Yes / No)],"Yes"),"")</f>
        <v/>
      </c>
      <c r="L3" s="37" t="str">
        <f>IF(COUNTIFS(FIRSTPASS[Month
(Mon - YY)],L1,FIRSTPASS[First Pass (Yes / No)],"Yes")&gt;0,COUNTIFS(FIRSTPASS[Month
(Mon - YY)],L1,FIRSTPASS[First Pass (Yes / No)],"Yes"),"")</f>
        <v/>
      </c>
      <c r="M3" s="37" t="str">
        <f>IF(COUNTIFS(FIRSTPASS[Month
(Mon - YY)],M1,FIRSTPASS[First Pass (Yes / No)],"Yes")&gt;0,COUNTIFS(FIRSTPASS[Month
(Mon - YY)],M1,FIRSTPASS[First Pass (Yes / No)],"Yes"),"")</f>
        <v/>
      </c>
      <c r="N3" s="38" t="str">
        <f>IF(SUM(B3:M3)&gt;0,SUM(B3:M3),"")</f>
        <v/>
      </c>
    </row>
    <row r="4" spans="1:14" x14ac:dyDescent="0.35">
      <c r="A4" s="30" t="s">
        <v>26</v>
      </c>
      <c r="B4" s="19"/>
      <c r="C4" s="19"/>
      <c r="D4" s="19"/>
      <c r="E4" s="19"/>
      <c r="F4" s="19"/>
      <c r="G4" s="19"/>
      <c r="H4" s="19"/>
      <c r="I4" s="19"/>
      <c r="J4" s="19"/>
      <c r="K4" s="19"/>
      <c r="L4" s="19"/>
      <c r="M4" s="19"/>
      <c r="N4" s="21" t="str">
        <f>IF(SUM(B4:M4)&gt;0,SUM(B4:M4),"")</f>
        <v/>
      </c>
    </row>
    <row r="5" spans="1:14" x14ac:dyDescent="0.35">
      <c r="A5" s="30" t="s">
        <v>27</v>
      </c>
      <c r="B5" s="20"/>
      <c r="C5" s="20"/>
      <c r="D5" s="20"/>
      <c r="E5" s="20"/>
      <c r="F5" s="20"/>
      <c r="G5" s="20"/>
      <c r="H5" s="20"/>
      <c r="I5" s="20"/>
      <c r="J5" s="20"/>
      <c r="K5" s="20"/>
      <c r="L5" s="20"/>
      <c r="M5" s="20"/>
      <c r="N5" s="22" t="str">
        <f>IF(SUM(B5:M5)&gt;0,SUM(B5:M5),"")</f>
        <v/>
      </c>
    </row>
    <row r="6" spans="1:14" x14ac:dyDescent="0.35">
      <c r="A6" s="30" t="s">
        <v>55</v>
      </c>
      <c r="B6" s="39" t="str">
        <f t="shared" ref="B6:G6" si="0">IFERROR(B3/B2,"")</f>
        <v/>
      </c>
      <c r="C6" s="39" t="str">
        <f t="shared" si="0"/>
        <v/>
      </c>
      <c r="D6" s="39" t="str">
        <f t="shared" si="0"/>
        <v/>
      </c>
      <c r="E6" s="39" t="str">
        <f t="shared" si="0"/>
        <v/>
      </c>
      <c r="F6" s="39" t="str">
        <f t="shared" si="0"/>
        <v/>
      </c>
      <c r="G6" s="39" t="str">
        <f t="shared" si="0"/>
        <v/>
      </c>
      <c r="H6" s="39" t="str">
        <f t="shared" ref="H6:M6" si="1">IFERROR(H3/H2,"")</f>
        <v/>
      </c>
      <c r="I6" s="39" t="str">
        <f t="shared" si="1"/>
        <v/>
      </c>
      <c r="J6" s="39" t="str">
        <f t="shared" si="1"/>
        <v/>
      </c>
      <c r="K6" s="39" t="str">
        <f t="shared" si="1"/>
        <v/>
      </c>
      <c r="L6" s="39" t="str">
        <f t="shared" si="1"/>
        <v/>
      </c>
      <c r="M6" s="39" t="str">
        <f t="shared" si="1"/>
        <v/>
      </c>
      <c r="N6" s="40" t="str">
        <f>IFERROR(AVERAGE(B6:M6),"")</f>
        <v/>
      </c>
    </row>
    <row r="7" spans="1:14" x14ac:dyDescent="0.35">
      <c r="A7" s="30" t="s">
        <v>24</v>
      </c>
      <c r="B7" s="39" t="str">
        <f>IFERROR(SUMIFS(FIRSTPASS[EST. Hrs.],FIRSTPASS[Month
(Mon - YY)],B1)/SUMIFS(FIRSTPASS[Act. Hrs.],FIRSTPASS[Month
(Mon - YY)],B1),"")</f>
        <v/>
      </c>
      <c r="C7" s="39" t="str">
        <f>IFERROR(SUMIFS(FIRSTPASS[EST. Hrs.],FIRSTPASS[Month
(Mon - YY)],C1)/SUMIFS(FIRSTPASS[Act. Hrs.],FIRSTPASS[Month
(Mon - YY)],C1),"")</f>
        <v/>
      </c>
      <c r="D7" s="39" t="str">
        <f>IFERROR(SUMIFS(FIRSTPASS[EST. Hrs.],FIRSTPASS[Month
(Mon - YY)],D1)/SUMIFS(FIRSTPASS[Act. Hrs.],FIRSTPASS[Month
(Mon - YY)],D1),"")</f>
        <v/>
      </c>
      <c r="E7" s="39" t="str">
        <f>IFERROR(SUMIFS(FIRSTPASS[EST. Hrs.],FIRSTPASS[Month
(Mon - YY)],E1)/SUMIFS(FIRSTPASS[Act. Hrs.],FIRSTPASS[Month
(Mon - YY)],E1),"")</f>
        <v/>
      </c>
      <c r="F7" s="39" t="str">
        <f>IFERROR(SUMIFS(FIRSTPASS[EST. Hrs.],FIRSTPASS[Month
(Mon - YY)],F1)/SUMIFS(FIRSTPASS[Act. Hrs.],FIRSTPASS[Month
(Mon - YY)],F1),"")</f>
        <v/>
      </c>
      <c r="G7" s="39" t="str">
        <f>IFERROR(SUMIFS(FIRSTPASS[EST. Hrs.],FIRSTPASS[Month
(Mon - YY)],G1)/SUMIFS(FIRSTPASS[Act. Hrs.],FIRSTPASS[Month
(Mon - YY)],G1),"")</f>
        <v/>
      </c>
      <c r="H7" s="39" t="str">
        <f>IFERROR(SUMIFS(FIRSTPASS[EST. Hrs.],FIRSTPASS[Month
(Mon - YY)],H1)/SUMIFS(FIRSTPASS[Act. Hrs.],FIRSTPASS[Month
(Mon - YY)],H1),"")</f>
        <v/>
      </c>
      <c r="I7" s="39" t="str">
        <f>IFERROR(SUMIFS(FIRSTPASS[EST. Hrs.],FIRSTPASS[Month
(Mon - YY)],I1)/SUMIFS(FIRSTPASS[Act. Hrs.],FIRSTPASS[Month
(Mon - YY)],I1),"")</f>
        <v/>
      </c>
      <c r="J7" s="39" t="str">
        <f>IFERROR(SUMIFS(FIRSTPASS[EST. Hrs.],FIRSTPASS[Month
(Mon - YY)],J1)/SUMIFS(FIRSTPASS[Act. Hrs.],FIRSTPASS[Month
(Mon - YY)],J1),"")</f>
        <v/>
      </c>
      <c r="K7" s="39" t="str">
        <f>IFERROR(SUMIFS(FIRSTPASS[EST. Hrs.],FIRSTPASS[Month
(Mon - YY)],K1)/SUMIFS(FIRSTPASS[Act. Hrs.],FIRSTPASS[Month
(Mon - YY)],K1),"")</f>
        <v/>
      </c>
      <c r="L7" s="39" t="str">
        <f>IFERROR(SUMIFS(FIRSTPASS[EST. Hrs.],FIRSTPASS[Month
(Mon - YY)],L1)/SUMIFS(FIRSTPASS[Act. Hrs.],FIRSTPASS[Month
(Mon - YY)],L1),"")</f>
        <v/>
      </c>
      <c r="M7" s="39" t="str">
        <f>IFERROR(SUMIFS(FIRSTPASS[EST. Hrs.],FIRSTPASS[Month
(Mon - YY)],M1)/SUMIFS(FIRSTPASS[Act. Hrs.],FIRSTPASS[Month
(Mon - YY)],M1),"")</f>
        <v/>
      </c>
      <c r="N7" s="40" t="str">
        <f>IFERROR(AVERAGE(B7:M7),"")</f>
        <v/>
      </c>
    </row>
    <row r="8" spans="1:14" x14ac:dyDescent="0.35">
      <c r="A8" s="30" t="s">
        <v>25</v>
      </c>
      <c r="B8" s="23"/>
      <c r="C8" s="23"/>
      <c r="D8" s="23"/>
      <c r="E8" s="23"/>
      <c r="F8" s="23"/>
      <c r="G8" s="23"/>
      <c r="H8" s="23"/>
      <c r="I8" s="23"/>
      <c r="J8" s="23"/>
      <c r="K8" s="23"/>
      <c r="L8" s="23"/>
      <c r="M8" s="23"/>
      <c r="N8" s="24" t="str">
        <f>IFERROR(AVERAGE(B8:M8),"")</f>
        <v/>
      </c>
    </row>
    <row r="9" spans="1:14" x14ac:dyDescent="0.35">
      <c r="A9" s="30" t="s">
        <v>28</v>
      </c>
      <c r="B9" s="25"/>
      <c r="C9" s="25"/>
      <c r="D9" s="25"/>
      <c r="E9" s="25"/>
      <c r="F9" s="25"/>
      <c r="G9" s="25"/>
      <c r="H9" s="25"/>
      <c r="I9" s="25"/>
      <c r="J9" s="25"/>
      <c r="K9" s="25"/>
      <c r="L9" s="25"/>
      <c r="M9" s="25"/>
      <c r="N9" s="26" t="str">
        <f>IFERROR(AVERAGE(B9:M9),"")</f>
        <v/>
      </c>
    </row>
    <row r="14" spans="1:14" x14ac:dyDescent="0.35">
      <c r="A14" s="55"/>
    </row>
    <row r="15" spans="1:14" x14ac:dyDescent="0.35">
      <c r="A15" s="56"/>
    </row>
    <row r="16" spans="1:14" x14ac:dyDescent="0.35">
      <c r="A16" s="56"/>
    </row>
    <row r="17" spans="1:1" x14ac:dyDescent="0.35">
      <c r="A17" s="56"/>
    </row>
  </sheetData>
  <sheetProtection algorithmName="SHA-512" hashValue="1c7NfXsQceelPzMfUvKjWmtLuQ3vwFgUzOt3kU/4AMFIzaMxvLH2or4Wk+oEcVWqy6Au9r21zmRkGvGgRxzT1w==" saltValue="zf2QG59CQWWEIbjQKa5Z5A==" spinCount="100000" sheet="1" objects="1" scenarios="1" autoFilter="0" pivotTables="0"/>
  <pageMargins left="0.7" right="0.7" top="0.75" bottom="0.75" header="0.3" footer="0.3"/>
  <pageSetup orientation="portrait" horizontalDpi="200" verticalDpi="2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F70F5-8DD2-415B-8D14-D3353D78F730}">
  <sheetPr codeName="Sheet4"/>
  <dimension ref="A1:O10"/>
  <sheetViews>
    <sheetView showGridLines="0" zoomScale="90" zoomScaleNormal="90" workbookViewId="0">
      <selection activeCell="A2" sqref="A2"/>
    </sheetView>
  </sheetViews>
  <sheetFormatPr defaultRowHeight="14.5" x14ac:dyDescent="0.35"/>
  <cols>
    <col min="1" max="1" width="8" bestFit="1" customWidth="1"/>
    <col min="2" max="2" width="9" customWidth="1"/>
    <col min="3" max="3" width="15.81640625" customWidth="1"/>
    <col min="4" max="4" width="15.26953125" customWidth="1"/>
    <col min="5" max="5" width="16.453125" customWidth="1"/>
    <col min="6" max="6" width="16.81640625" customWidth="1"/>
    <col min="7" max="7" width="13.81640625" customWidth="1"/>
    <col min="8" max="8" width="16.54296875" customWidth="1"/>
    <col min="9" max="9" width="20.54296875" customWidth="1"/>
    <col min="10" max="10" width="20.7265625" customWidth="1"/>
    <col min="11" max="11" width="10.81640625" bestFit="1" customWidth="1"/>
    <col min="12" max="12" width="12.1796875" bestFit="1" customWidth="1"/>
    <col min="14" max="14" width="11.26953125" customWidth="1"/>
  </cols>
  <sheetData>
    <row r="1" spans="1:15" ht="39" x14ac:dyDescent="0.35">
      <c r="A1" s="7" t="s">
        <v>32</v>
      </c>
      <c r="B1" s="7" t="s">
        <v>72</v>
      </c>
      <c r="C1" s="8" t="s">
        <v>33</v>
      </c>
      <c r="D1" s="9" t="s">
        <v>34</v>
      </c>
      <c r="E1" s="14" t="s">
        <v>47</v>
      </c>
      <c r="F1" s="9" t="s">
        <v>46</v>
      </c>
      <c r="G1" s="8" t="s">
        <v>45</v>
      </c>
      <c r="H1" s="9" t="s">
        <v>41</v>
      </c>
      <c r="I1" s="8" t="s">
        <v>36</v>
      </c>
      <c r="J1" s="9" t="s">
        <v>37</v>
      </c>
      <c r="K1" s="10" t="s">
        <v>38</v>
      </c>
      <c r="L1" s="15" t="s">
        <v>48</v>
      </c>
      <c r="M1" s="15" t="s">
        <v>49</v>
      </c>
      <c r="N1" s="9" t="s">
        <v>35</v>
      </c>
      <c r="O1" s="8" t="s">
        <v>71</v>
      </c>
    </row>
    <row r="2" spans="1:15" x14ac:dyDescent="0.35">
      <c r="A2" s="16"/>
      <c r="B2" s="16"/>
      <c r="C2" s="17"/>
      <c r="D2" s="17"/>
      <c r="E2" s="17"/>
      <c r="F2" s="16"/>
      <c r="G2" s="18"/>
      <c r="H2" s="17"/>
      <c r="I2" s="17"/>
      <c r="J2" s="17"/>
      <c r="K2" s="17"/>
      <c r="L2" s="17"/>
      <c r="M2" s="17"/>
      <c r="N2" s="33" t="str">
        <f t="shared" ref="N2:N5" si="0">IF(G2&gt;0,WEEKNUM(G2,1),"")</f>
        <v/>
      </c>
      <c r="O2" s="34" t="str">
        <f t="shared" ref="O2:O5" si="1">IF(G2&gt;0,TEXT(G2,"Mmm-yy"),"")</f>
        <v/>
      </c>
    </row>
    <row r="3" spans="1:15" x14ac:dyDescent="0.35">
      <c r="A3" s="16"/>
      <c r="B3" s="16"/>
      <c r="C3" s="17"/>
      <c r="D3" s="17"/>
      <c r="E3" s="17"/>
      <c r="F3" s="16"/>
      <c r="G3" s="18"/>
      <c r="H3" s="17"/>
      <c r="I3" s="17"/>
      <c r="J3" s="17"/>
      <c r="K3" s="17"/>
      <c r="L3" s="17"/>
      <c r="M3" s="17"/>
      <c r="N3" s="33" t="str">
        <f t="shared" si="0"/>
        <v/>
      </c>
      <c r="O3" s="34" t="str">
        <f t="shared" si="1"/>
        <v/>
      </c>
    </row>
    <row r="4" spans="1:15" x14ac:dyDescent="0.35">
      <c r="A4" s="16"/>
      <c r="B4" s="16"/>
      <c r="C4" s="17"/>
      <c r="D4" s="17"/>
      <c r="E4" s="17"/>
      <c r="F4" s="16"/>
      <c r="G4" s="18"/>
      <c r="H4" s="17"/>
      <c r="I4" s="17"/>
      <c r="J4" s="17"/>
      <c r="K4" s="17"/>
      <c r="L4" s="17"/>
      <c r="M4" s="17"/>
      <c r="N4" s="33" t="str">
        <f t="shared" si="0"/>
        <v/>
      </c>
      <c r="O4" s="34" t="str">
        <f t="shared" si="1"/>
        <v/>
      </c>
    </row>
    <row r="5" spans="1:15" x14ac:dyDescent="0.35">
      <c r="A5" s="16"/>
      <c r="B5" s="16"/>
      <c r="C5" s="17"/>
      <c r="D5" s="17"/>
      <c r="E5" s="17"/>
      <c r="F5" s="16"/>
      <c r="G5" s="18"/>
      <c r="H5" s="17"/>
      <c r="I5" s="17"/>
      <c r="J5" s="17"/>
      <c r="K5" s="17"/>
      <c r="L5" s="17"/>
      <c r="M5" s="17"/>
      <c r="N5" s="35" t="str">
        <f t="shared" si="0"/>
        <v/>
      </c>
      <c r="O5" s="36" t="str">
        <f t="shared" si="1"/>
        <v/>
      </c>
    </row>
    <row r="6" spans="1:15" x14ac:dyDescent="0.35">
      <c r="A6" s="64"/>
      <c r="B6" s="64"/>
      <c r="C6" s="65"/>
      <c r="D6" s="66"/>
      <c r="E6" s="17"/>
      <c r="F6" s="16"/>
      <c r="G6" s="18"/>
      <c r="H6" s="65"/>
      <c r="I6" s="65"/>
      <c r="J6" s="17"/>
      <c r="K6" s="17"/>
      <c r="L6" s="65"/>
      <c r="M6" s="65"/>
      <c r="N6" s="35" t="str">
        <f t="shared" ref="N6:N10" si="2">IF(G6&gt;0,WEEKNUM(G6,1),"")</f>
        <v/>
      </c>
      <c r="O6" s="36" t="str">
        <f t="shared" ref="O6:O10" si="3">IF(G6&gt;0,TEXT(G6,"Mmm-yy"),"")</f>
        <v/>
      </c>
    </row>
    <row r="7" spans="1:15" x14ac:dyDescent="0.35">
      <c r="A7" s="64"/>
      <c r="B7" s="64"/>
      <c r="C7" s="65"/>
      <c r="D7" s="66"/>
      <c r="E7" s="17"/>
      <c r="F7" s="16"/>
      <c r="G7" s="18"/>
      <c r="H7" s="65"/>
      <c r="I7" s="65"/>
      <c r="J7" s="17"/>
      <c r="K7" s="17"/>
      <c r="L7" s="65"/>
      <c r="M7" s="65"/>
      <c r="N7" s="35" t="str">
        <f t="shared" si="2"/>
        <v/>
      </c>
      <c r="O7" s="36" t="str">
        <f t="shared" si="3"/>
        <v/>
      </c>
    </row>
    <row r="8" spans="1:15" x14ac:dyDescent="0.35">
      <c r="A8" s="64"/>
      <c r="B8" s="64"/>
      <c r="C8" s="65"/>
      <c r="D8" s="65"/>
      <c r="E8" s="65"/>
      <c r="F8" s="16"/>
      <c r="G8" s="18"/>
      <c r="H8" s="65"/>
      <c r="I8" s="65"/>
      <c r="J8" s="17"/>
      <c r="K8" s="17"/>
      <c r="L8" s="65"/>
      <c r="M8" s="65"/>
      <c r="N8" s="35" t="str">
        <f t="shared" si="2"/>
        <v/>
      </c>
      <c r="O8" s="36" t="str">
        <f t="shared" si="3"/>
        <v/>
      </c>
    </row>
    <row r="9" spans="1:15" x14ac:dyDescent="0.35">
      <c r="A9" s="64"/>
      <c r="B9" s="64"/>
      <c r="C9" s="65"/>
      <c r="D9" s="66"/>
      <c r="E9" s="17"/>
      <c r="F9" s="64"/>
      <c r="G9" s="18"/>
      <c r="H9" s="65"/>
      <c r="I9" s="65"/>
      <c r="J9" s="17"/>
      <c r="K9" s="17"/>
      <c r="L9" s="65"/>
      <c r="M9" s="65"/>
      <c r="N9" s="35" t="str">
        <f t="shared" si="2"/>
        <v/>
      </c>
      <c r="O9" s="36" t="str">
        <f t="shared" si="3"/>
        <v/>
      </c>
    </row>
    <row r="10" spans="1:15" x14ac:dyDescent="0.35">
      <c r="A10" s="64"/>
      <c r="B10" s="64"/>
      <c r="C10" s="17"/>
      <c r="D10" s="17"/>
      <c r="E10" s="17"/>
      <c r="F10" s="64"/>
      <c r="G10" s="18"/>
      <c r="H10" s="65"/>
      <c r="I10" s="65"/>
      <c r="J10" s="17"/>
      <c r="K10" s="17"/>
      <c r="L10" s="17"/>
      <c r="M10" s="17"/>
      <c r="N10" s="35" t="str">
        <f t="shared" si="2"/>
        <v/>
      </c>
      <c r="O10" s="36" t="str">
        <f t="shared" si="3"/>
        <v/>
      </c>
    </row>
  </sheetData>
  <conditionalFormatting sqref="C2:C10">
    <cfRule type="duplicateValues" dxfId="20" priority="2"/>
  </conditionalFormatting>
  <dataValidations count="1">
    <dataValidation type="list" allowBlank="1" showInputMessage="1" showErrorMessage="1" sqref="F2:F10" xr:uid="{F23E7FC4-75B1-47F5-8807-A3388214170F}">
      <formula1>"Yes, No"</formula1>
    </dataValidation>
  </dataValidations>
  <pageMargins left="0.7" right="0.7" top="0.75" bottom="0.75" header="0.3" footer="0.3"/>
  <pageSetup orientation="portrait" horizontalDpi="200" verticalDpi="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Contents</vt:lpstr>
      <vt:lpstr>Time Sheet</vt:lpstr>
      <vt:lpstr>KPI's</vt:lpstr>
      <vt:lpstr>First-Pass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Gidnavar, Sanjeev</dc:creator>
  <cp:lastModifiedBy>Govindasamy, Gnanasekaran</cp:lastModifiedBy>
  <dcterms:created xsi:type="dcterms:W3CDTF">2021-03-05T12:14:31Z</dcterms:created>
  <dcterms:modified xsi:type="dcterms:W3CDTF">2025-07-24T11:34:08Z</dcterms:modified>
</cp:coreProperties>
</file>